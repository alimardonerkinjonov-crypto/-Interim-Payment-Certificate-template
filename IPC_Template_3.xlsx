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imardon\Excel files\"/>
    </mc:Choice>
  </mc:AlternateContent>
  <xr:revisionPtr revIDLastSave="0" documentId="13_ncr:1_{65AB66DE-ACCE-44CF-8BB1-6F0749F5840D}" xr6:coauthVersionLast="47" xr6:coauthVersionMax="47" xr10:uidLastSave="{00000000-0000-0000-0000-000000000000}"/>
  <bookViews>
    <workbookView xWindow="13455" yWindow="-16320" windowWidth="29040" windowHeight="15840" activeTab="2" xr2:uid="{00000000-000D-0000-FFFF-FFFF00000000}"/>
  </bookViews>
  <sheets>
    <sheet name="Cover of IPC " sheetId="2" r:id="rId1"/>
    <sheet name="Bill Summary" sheetId="3" r:id="rId2"/>
    <sheet name="Sch1. (A)" sheetId="4" r:id="rId3"/>
    <sheet name="Sch3. (A)" sheetId="5" r:id="rId4"/>
    <sheet name="Sch4. (A)" sheetId="6" r:id="rId5"/>
    <sheet name="Dayworks" sheetId="7" r:id="rId6"/>
    <sheet name="Schedule S1" sheetId="8" r:id="rId7"/>
    <sheet name="Schedule S2" sheetId="9" r:id="rId8"/>
    <sheet name="Sch1.  (B)" sheetId="10" r:id="rId9"/>
    <sheet name="Sch3. (B)" sheetId="11" r:id="rId10"/>
    <sheet name="Sch4. (B)" sheetId="12" r:id="rId11"/>
    <sheet name="Sheet1" sheetId="1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_1__123Graph_ACHART_1" hidden="1">[1]Cash2!$G$16:$G$31</definedName>
    <definedName name="__123Graph_ACURRENT" hidden="1">[2]FitOutConfCentre!#REF!</definedName>
    <definedName name="__2__123Graph_ACHART_2" hidden="1">[1]Z!$T$179:$AH$179</definedName>
    <definedName name="__3__123Graph_BCHART_2" hidden="1">[1]Z!$T$180:$AH$180</definedName>
    <definedName name="__4__123Graph_CCHART_1" hidden="1">[1]Cash2!$J$16:$J$36</definedName>
    <definedName name="__5__123Graph_DCHART_1" hidden="1">[1]Cash2!$K$16:$K$36</definedName>
    <definedName name="__xx3">__xx3</definedName>
    <definedName name="_1__123Graph_ACHART_1" hidden="1">[1]Cash2!$G$16:$G$31</definedName>
    <definedName name="_1q2_">_1q2_</definedName>
    <definedName name="_2__123Graph_ACHART_2" hidden="1">[1]Z!$T$179:$AH$179</definedName>
    <definedName name="_3__123Graph_BCHART_2" hidden="1">[1]Z!$T$180:$AH$180</definedName>
    <definedName name="_4__123Graph_CCHART_1" hidden="1">[1]Cash2!$J$16:$J$36</definedName>
    <definedName name="_5__123Graph_DCHART_1" hidden="1">[1]Cash2!$K$16:$K$36</definedName>
    <definedName name="_ABC" hidden="1">[1]Cash2!$G$16:$G$31</definedName>
    <definedName name="_Fill" hidden="1">[3]GRSummary!#REF!</definedName>
    <definedName name="_xlnm._FilterDatabase" localSheetId="8" hidden="1">'Sch1.  (B)'!$A$6:$F$19</definedName>
    <definedName name="_xlnm._FilterDatabase" localSheetId="2" hidden="1">'Sch1. (A)'!$A$6:$F$25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Out" hidden="1">#REF!</definedName>
    <definedName name="_q2">_q2</definedName>
    <definedName name="_Regression_Int" hidden="1">1</definedName>
    <definedName name="_Sort" hidden="1">[4]기계내역서!#REF!</definedName>
    <definedName name="_Toc431893357" localSheetId="8">'Sch1.  (B)'!#REF!</definedName>
    <definedName name="_Toc431893357" localSheetId="2">'Sch1. (A)'!#REF!</definedName>
    <definedName name="_xx3">_xx3</definedName>
    <definedName name="aa">#N/A</definedName>
    <definedName name="AccessDatabase" hidden="1">"C:\WIN95\Desktop\Ramesh\AIC\Aic.mdb"</definedName>
    <definedName name="afyg">#REF!</definedName>
    <definedName name="AJ">[5]材料!$D$8</definedName>
    <definedName name="AL">[5]材料!$D$7</definedName>
    <definedName name="as">as</definedName>
    <definedName name="b">b</definedName>
    <definedName name="B1T">'[6]Bill 1'!$F$833</definedName>
    <definedName name="B3T">'[6]Bill 3'!$F$683</definedName>
    <definedName name="B4T">'[6]Bill 4'!$F$568</definedName>
    <definedName name="B5T">'[6]Bill 5'!$F$247</definedName>
    <definedName name="B6T">'[6]Bill 6'!$F$377</definedName>
    <definedName name="B7T">'[6]Bill 7'!$F$437</definedName>
    <definedName name="BBOQ">[7]BOQ!$1:$1048576</definedName>
    <definedName name="Beginning_Balance">-FV(Interest_Rate/12,Payment_Number-1,-Monthly_Payment,Loan_Amount)</definedName>
    <definedName name="bxq">[7]汇率!$C$25</definedName>
    <definedName name="ccc">ccc</definedName>
    <definedName name="cccc">cccc</definedName>
    <definedName name="ccccc">ccccc</definedName>
    <definedName name="ccccccc">ccccccc</definedName>
    <definedName name="cltz">#REF!</definedName>
    <definedName name="ddd">ddd</definedName>
    <definedName name="dgfdgdgfd">#REF!</definedName>
    <definedName name="dgfdgffhh">#REF!</definedName>
    <definedName name="dgfgd" hidden="1">[8]FitOutConfCentre!#REF!</definedName>
    <definedName name="dglf">[7]汇率!$C$27</definedName>
    <definedName name="DJFX">[9]DJFX!$A:$L</definedName>
    <definedName name="dkdxs">[7]汇率!$C$29</definedName>
    <definedName name="E">#REF!</definedName>
    <definedName name="EE">#REF!</definedName>
    <definedName name="Ending_Balance">-FV(Interest_Rate/12,Payment_Number,-Monthly_Payment,Loan_Amount)</definedName>
    <definedName name="EQ">[7]EQ!$1:$1048576</definedName>
    <definedName name="excb">1</definedName>
    <definedName name="excf">1</definedName>
    <definedName name="excl">72.452</definedName>
    <definedName name="Full_Print">#REF!</definedName>
    <definedName name="gcjg">#REF!</definedName>
    <definedName name="gh">gh</definedName>
    <definedName name="ghh">ghh</definedName>
    <definedName name="gjxs">#REF!</definedName>
    <definedName name="gq">#REF!</definedName>
    <definedName name="H">#REF!</definedName>
    <definedName name="hbgfh">#REF!</definedName>
    <definedName name="Header_Row">ROW(#REF!)</definedName>
    <definedName name="Header_Row_Back">ROW(#REF!)</definedName>
    <definedName name="hfh">#REF!</definedName>
    <definedName name="HH">#REF!</definedName>
    <definedName name="hhgh">#REF!</definedName>
    <definedName name="hj">hj</definedName>
    <definedName name="hl">[9]基础数据表!$C$7</definedName>
    <definedName name="HTML_CodePage" hidden="1">1252</definedName>
    <definedName name="HTML_Control" hidden="1">{"'Sheet2'!$A$1:$D$37"}</definedName>
    <definedName name="HTML_Description" hidden="1">""</definedName>
    <definedName name="HTML_Email" hidden="1">"michael_woodrow@lendlease.co.uk"</definedName>
    <definedName name="HTML_Header" hidden="1">"Draft - test"</definedName>
    <definedName name="HTML_LastUpdate" hidden="1">"02/11/2000"</definedName>
    <definedName name="HTML_LineAfter" hidden="1">FALSE</definedName>
    <definedName name="HTML_LineBefore" hidden="1">FALSE</definedName>
    <definedName name="HTML_Name" hidden="1">"Michael Woodrow"</definedName>
    <definedName name="HTML_OBDlg2" hidden="1">TRUE</definedName>
    <definedName name="HTML_OBDlg4" hidden="1">TRUE</definedName>
    <definedName name="HTML_OS" hidden="1">0</definedName>
    <definedName name="HTML_PathFile" hidden="1">"G:\Finance\COGNOS\PPLAY\Test_Reports\HTML_Test\Mgmt_Test1005.htm"</definedName>
    <definedName name="HTML_Title" hidden="1">"1005"</definedName>
    <definedName name="htzj">[7]汇率!$C$32</definedName>
    <definedName name="Interest">-IPMT(Interest_Rate/12,Payment_Number,Number_of_Payments,Loan_Amount)</definedName>
    <definedName name="Interest_Rate">#REF!</definedName>
    <definedName name="io">io</definedName>
    <definedName name="J">#REF!</definedName>
    <definedName name="JD">#REF!</definedName>
    <definedName name="jg">[9]基础数据表!$C$19</definedName>
    <definedName name="jgxs">#REF!</definedName>
    <definedName name="jjf">#REF!</definedName>
    <definedName name="jk">jk</definedName>
    <definedName name="jkl">jkl</definedName>
    <definedName name="jxtz">#REF!</definedName>
    <definedName name="K">#REF!</definedName>
    <definedName name="kdxs">[7]汇率!$C$18</definedName>
    <definedName name="kk">#REF!</definedName>
    <definedName name="L">#REF!</definedName>
    <definedName name="Last_Row">IF(Values_Entered,Header_Row+Number_of_Payments,Header_Row)</definedName>
    <definedName name="lg">[9]基础数据表!$C$18</definedName>
    <definedName name="lgxs">#REF!</definedName>
    <definedName name="LIB">#REF!</definedName>
    <definedName name="liu">liu</definedName>
    <definedName name="LL">#REF!</definedName>
    <definedName name="Loan_Amount">#REF!</definedName>
    <definedName name="Loan_Not_Paid">IF(Payment_Number&lt;=Number_of_Payments,1,0)</definedName>
    <definedName name="Loan_Start">#REF!</definedName>
    <definedName name="Loan_Years">#REF!</definedName>
    <definedName name="lui">lui</definedName>
    <definedName name="M">#REF!</definedName>
    <definedName name="mbhl">[7]汇率!$C$6</definedName>
    <definedName name="mkhl">#REF!</definedName>
    <definedName name="mknhl">[7]汇率!$C$14</definedName>
    <definedName name="mlhl">'[10]汇率&amp;代码'!$C$4</definedName>
    <definedName name="Monthly_Payment">-PMT(Interest_Rate/12,Number_of_Payments,Loan_Amount)</definedName>
    <definedName name="mrhl">#REF!</definedName>
    <definedName name="mshl">[11]基础数据!$E$3</definedName>
    <definedName name="mthl">[7]汇率!$C$12</definedName>
    <definedName name="muhl">[12]Data!$C$7</definedName>
    <definedName name="mybl">#REF!</definedName>
    <definedName name="N">#REF!</definedName>
    <definedName name="Number_of_Payments">#REF!</definedName>
    <definedName name="okhl">#REF!</definedName>
    <definedName name="omhl">#REF!</definedName>
    <definedName name="P">#REF!</definedName>
    <definedName name="PAL">#REF!</definedName>
    <definedName name="Payment_Date">DATE(YEAR(Loan_Start),MONTH(Loan_Start)+Payment_Number,DAY(Loan_Start))</definedName>
    <definedName name="Payment_Number">ROW()-Header_Row</definedName>
    <definedName name="pcAdjMinus">0</definedName>
    <definedName name="pcIndirect">0.25724375</definedName>
    <definedName name="pcIndirectforeign">0.1318</definedName>
    <definedName name="pcIndirectLocal">0.12544375</definedName>
    <definedName name="pcTax">0.24</definedName>
    <definedName name="pcTaxForeign">0</definedName>
    <definedName name="pcTaxLocal">0.24</definedName>
    <definedName name="period">37</definedName>
    <definedName name="pi">[13]sheet1!$G$1</definedName>
    <definedName name="pjbl">[11]间接费!#REF!</definedName>
    <definedName name="pjl">#REF!</definedName>
    <definedName name="PL">[5]PL!$A:$I</definedName>
    <definedName name="poio">poio</definedName>
    <definedName name="Principal">-PPMT(Interest_Rate/12,Payment_Number,Number_of_Payments,Loan_Amount)</definedName>
    <definedName name="_xlnm.Print_Area" localSheetId="1">'Bill Summary'!$A$1:$P$43</definedName>
    <definedName name="_xlnm.Print_Area" localSheetId="0">'Cover of IPC '!$A$1:$D$22</definedName>
    <definedName name="_xlnm.Print_Area" localSheetId="5">Dayworks!$A$1:$O$19</definedName>
    <definedName name="_xlnm.Print_Area" localSheetId="8">'Sch1.  (B)'!$A$1:$AA$19</definedName>
    <definedName name="_xlnm.Print_Area" localSheetId="2">'Sch1. (A)'!$A$2:$AA$19</definedName>
    <definedName name="_xlnm.Print_Area" localSheetId="3">'Sch3. (A)'!$A$1:$O$20</definedName>
    <definedName name="_xlnm.Print_Area" localSheetId="9">'Sch3. (B)'!$A$1:$O$20</definedName>
    <definedName name="_xlnm.Print_Area" localSheetId="4">'Sch4. (A)'!$A$1:$O$33</definedName>
    <definedName name="_xlnm.Print_Area" localSheetId="10">'Sch4. (B)'!$A$1:$O$33</definedName>
    <definedName name="_xlnm.Print_Area" localSheetId="6">'Schedule S1'!$A$1:$O$19</definedName>
    <definedName name="_xlnm.Print_Area" localSheetId="7">'Schedule S2'!$A$1:$O$27</definedName>
    <definedName name="_xlnm.Print_Titles" localSheetId="5">Dayworks!#REF!</definedName>
    <definedName name="_xlnm.Print_Titles" localSheetId="8">'Sch1.  (B)'!#REF!</definedName>
    <definedName name="_xlnm.Print_Titles" localSheetId="2">'Sch1. (A)'!#REF!</definedName>
    <definedName name="_xlnm.Print_Titles" localSheetId="6">'Schedule S1'!#REF!</definedName>
    <definedName name="_xlnm.Print_Titles" localSheetId="7">'Schedule S2'!#REF!</definedName>
    <definedName name="q">q</definedName>
    <definedName name="qpjl">#REF!</definedName>
    <definedName name="QR">3.64</definedName>
    <definedName name="qtyj">[9]基础数据表!$C$22</definedName>
    <definedName name="rate">#REF!</definedName>
    <definedName name="_xlnm.Recorder">#REF!</definedName>
    <definedName name="REGRESS_DATA">[14]REGRESS!$O$5:$P$9</definedName>
    <definedName name="rgtz">#REF!</definedName>
    <definedName name="rkhl">#REF!</definedName>
    <definedName name="rt">[12]Data!$C$19</definedName>
    <definedName name="ruhl">[12]Data!$C$6</definedName>
    <definedName name="S">#REF!</definedName>
    <definedName name="SGBZDFXVC">#REF!</definedName>
    <definedName name="sheet">#REF!</definedName>
    <definedName name="SUMMARY">#REF!</definedName>
    <definedName name="T">#REF!</definedName>
    <definedName name="Table1">#REF!</definedName>
    <definedName name="tbzj">[12]Data!$C$25</definedName>
    <definedName name="tjxs">#REF!</definedName>
    <definedName name="Total_Cost">#REF!</definedName>
    <definedName name="Total_Interest">#REF!</definedName>
    <definedName name="txf">#REF!</definedName>
    <definedName name="txff">[11]摊销费!$D$130</definedName>
    <definedName name="txfl">'[9]4-其他直接费'!$F$120</definedName>
    <definedName name="TZXS">[7]GS!$F$109</definedName>
    <definedName name="U">#REF!</definedName>
    <definedName name="V">#REF!</definedName>
    <definedName name="Values_Entered">IF(Loan_Amount*Interest_Rate*Loan_Years*Loan_Start&gt;0,1,0)</definedName>
    <definedName name="W">#REF!</definedName>
    <definedName name="wfyg">#REF!</definedName>
    <definedName name="wxq">#REF!</definedName>
    <definedName name="X">#REF!</definedName>
    <definedName name="XLRPARAMS_GCMC" hidden="1">[15]XLR_NoRangeSheet!$B$6</definedName>
    <definedName name="XLRPARAMS_ZYMC" hidden="1">[15]XLR_NoRangeSheet!$C$6</definedName>
    <definedName name="xx">xx</definedName>
    <definedName name="Y">#REF!</definedName>
    <definedName name="YFKBL">[7]GS!$F$111</definedName>
    <definedName name="yj">#REF!</definedName>
    <definedName name="ytytyyt">#REF!</definedName>
    <definedName name="yuo">yuo</definedName>
    <definedName name="yuo1">yuo1</definedName>
    <definedName name="yytyrtryy">#REF!</definedName>
    <definedName name="yyyertrt">#REF!</definedName>
    <definedName name="yyyy">#REF!</definedName>
    <definedName name="Z">#REF!</definedName>
    <definedName name="Z_500C2190_BD28_4BA8_8013_63F9DF928539_.wvu.Cols" localSheetId="8" hidden="1">'Sch1.  (B)'!#REF!</definedName>
    <definedName name="Z_500C2190_BD28_4BA8_8013_63F9DF928539_.wvu.Cols" localSheetId="2" hidden="1">'Sch1. (A)'!#REF!</definedName>
    <definedName name="Z_500C2190_BD28_4BA8_8013_63F9DF928539_.wvu.Cols" localSheetId="3" hidden="1">'Sch3. (A)'!#REF!</definedName>
    <definedName name="Z_500C2190_BD28_4BA8_8013_63F9DF928539_.wvu.Cols" localSheetId="9" hidden="1">'Sch3. (B)'!#REF!</definedName>
    <definedName name="Z_500C2190_BD28_4BA8_8013_63F9DF928539_.wvu.Cols" localSheetId="4" hidden="1">'Sch4. (A)'!#REF!</definedName>
    <definedName name="Z_500C2190_BD28_4BA8_8013_63F9DF928539_.wvu.Cols" localSheetId="10" hidden="1">'Sch4. (B)'!#REF!</definedName>
    <definedName name="Z_500C2190_BD28_4BA8_8013_63F9DF928539_.wvu.PrintArea" localSheetId="5" hidden="1">Dayworks!$A$8:$F$19</definedName>
    <definedName name="Z_500C2190_BD28_4BA8_8013_63F9DF928539_.wvu.PrintArea" localSheetId="8" hidden="1">'Sch1.  (B)'!$A$19:$F$19</definedName>
    <definedName name="Z_500C2190_BD28_4BA8_8013_63F9DF928539_.wvu.PrintArea" localSheetId="2" hidden="1">'Sch1. (A)'!$A$19:$F$19</definedName>
    <definedName name="Z_500C2190_BD28_4BA8_8013_63F9DF928539_.wvu.PrintArea" localSheetId="3" hidden="1">'Sch3. (A)'!$A$6:$F$20</definedName>
    <definedName name="Z_500C2190_BD28_4BA8_8013_63F9DF928539_.wvu.PrintArea" localSheetId="9" hidden="1">'Sch3. (B)'!$A$6:$F$20</definedName>
    <definedName name="Z_500C2190_BD28_4BA8_8013_63F9DF928539_.wvu.PrintArea" localSheetId="4" hidden="1">'Sch4. (A)'!$A$8:$F$33</definedName>
    <definedName name="Z_500C2190_BD28_4BA8_8013_63F9DF928539_.wvu.PrintArea" localSheetId="10" hidden="1">'Sch4. (B)'!$A$8:$F$33</definedName>
    <definedName name="Z_500C2190_BD28_4BA8_8013_63F9DF928539_.wvu.PrintArea" localSheetId="6" hidden="1">'Schedule S1'!$A$6:$F$19</definedName>
    <definedName name="Z_500C2190_BD28_4BA8_8013_63F9DF928539_.wvu.PrintArea" localSheetId="7" hidden="1">'Schedule S2'!$A$6:$F$27</definedName>
    <definedName name="Z_500C2190_BD28_4BA8_8013_63F9DF928539_.wvu.PrintTitles" localSheetId="5" hidden="1">Dayworks!#REF!</definedName>
    <definedName name="Z_500C2190_BD28_4BA8_8013_63F9DF928539_.wvu.PrintTitles" localSheetId="8" hidden="1">'Sch1.  (B)'!#REF!</definedName>
    <definedName name="Z_500C2190_BD28_4BA8_8013_63F9DF928539_.wvu.PrintTitles" localSheetId="2" hidden="1">'Sch1. (A)'!#REF!</definedName>
    <definedName name="Z_500C2190_BD28_4BA8_8013_63F9DF928539_.wvu.PrintTitles" localSheetId="3" hidden="1">'Sch3. (A)'!#REF!</definedName>
    <definedName name="Z_500C2190_BD28_4BA8_8013_63F9DF928539_.wvu.PrintTitles" localSheetId="9" hidden="1">'Sch3. (B)'!#REF!</definedName>
    <definedName name="Z_500C2190_BD28_4BA8_8013_63F9DF928539_.wvu.PrintTitles" localSheetId="4" hidden="1">'Sch4. (A)'!#REF!</definedName>
    <definedName name="Z_500C2190_BD28_4BA8_8013_63F9DF928539_.wvu.PrintTitles" localSheetId="10" hidden="1">'Sch4. (B)'!#REF!</definedName>
    <definedName name="Z_500C2190_BD28_4BA8_8013_63F9DF928539_.wvu.PrintTitles" localSheetId="6" hidden="1">'Schedule S1'!#REF!</definedName>
    <definedName name="Z_500C2190_BD28_4BA8_8013_63F9DF928539_.wvu.PrintTitles" localSheetId="7" hidden="1">'Schedule S2'!#REF!</definedName>
    <definedName name="Z_C5E94E5F_7832_42A4_B652_CE6B29907A36_.wvu.Cols" localSheetId="8" hidden="1">'Sch1.  (B)'!#REF!</definedName>
    <definedName name="Z_C5E94E5F_7832_42A4_B652_CE6B29907A36_.wvu.Cols" localSheetId="2" hidden="1">'Sch1. (A)'!#REF!</definedName>
    <definedName name="Z_C5E94E5F_7832_42A4_B652_CE6B29907A36_.wvu.Cols" localSheetId="3" hidden="1">'Sch3. (A)'!#REF!</definedName>
    <definedName name="Z_C5E94E5F_7832_42A4_B652_CE6B29907A36_.wvu.Cols" localSheetId="9" hidden="1">'Sch3. (B)'!#REF!</definedName>
    <definedName name="Z_C5E94E5F_7832_42A4_B652_CE6B29907A36_.wvu.Cols" localSheetId="4" hidden="1">'Sch4. (A)'!#REF!</definedName>
    <definedName name="Z_C5E94E5F_7832_42A4_B652_CE6B29907A36_.wvu.Cols" localSheetId="10" hidden="1">'Sch4. (B)'!#REF!</definedName>
    <definedName name="Z_C5E94E5F_7832_42A4_B652_CE6B29907A36_.wvu.PrintArea" localSheetId="5" hidden="1">Dayworks!$A$8:$F$19</definedName>
    <definedName name="Z_C5E94E5F_7832_42A4_B652_CE6B29907A36_.wvu.PrintArea" localSheetId="8" hidden="1">'Sch1.  (B)'!$A$19:$F$19</definedName>
    <definedName name="Z_C5E94E5F_7832_42A4_B652_CE6B29907A36_.wvu.PrintArea" localSheetId="2" hidden="1">'Sch1. (A)'!$A$19:$F$19</definedName>
    <definedName name="Z_C5E94E5F_7832_42A4_B652_CE6B29907A36_.wvu.PrintArea" localSheetId="3" hidden="1">'Sch3. (A)'!$A$6:$F$20</definedName>
    <definedName name="Z_C5E94E5F_7832_42A4_B652_CE6B29907A36_.wvu.PrintArea" localSheetId="9" hidden="1">'Sch3. (B)'!$A$6:$F$20</definedName>
    <definedName name="Z_C5E94E5F_7832_42A4_B652_CE6B29907A36_.wvu.PrintArea" localSheetId="4" hidden="1">'Sch4. (A)'!$A$8:$F$33</definedName>
    <definedName name="Z_C5E94E5F_7832_42A4_B652_CE6B29907A36_.wvu.PrintArea" localSheetId="10" hidden="1">'Sch4. (B)'!$A$8:$F$33</definedName>
    <definedName name="Z_C5E94E5F_7832_42A4_B652_CE6B29907A36_.wvu.PrintArea" localSheetId="6" hidden="1">'Schedule S1'!$A$6:$F$19</definedName>
    <definedName name="Z_C5E94E5F_7832_42A4_B652_CE6B29907A36_.wvu.PrintArea" localSheetId="7" hidden="1">'Schedule S2'!$A$6:$F$27</definedName>
    <definedName name="Z_C5E94E5F_7832_42A4_B652_CE6B29907A36_.wvu.PrintTitles" localSheetId="5" hidden="1">Dayworks!#REF!</definedName>
    <definedName name="Z_C5E94E5F_7832_42A4_B652_CE6B29907A36_.wvu.PrintTitles" localSheetId="8" hidden="1">'Sch1.  (B)'!#REF!</definedName>
    <definedName name="Z_C5E94E5F_7832_42A4_B652_CE6B29907A36_.wvu.PrintTitles" localSheetId="2" hidden="1">'Sch1. (A)'!#REF!</definedName>
    <definedName name="Z_C5E94E5F_7832_42A4_B652_CE6B29907A36_.wvu.PrintTitles" localSheetId="3" hidden="1">'Sch3. (A)'!#REF!</definedName>
    <definedName name="Z_C5E94E5F_7832_42A4_B652_CE6B29907A36_.wvu.PrintTitles" localSheetId="9" hidden="1">'Sch3. (B)'!#REF!</definedName>
    <definedName name="Z_C5E94E5F_7832_42A4_B652_CE6B29907A36_.wvu.PrintTitles" localSheetId="4" hidden="1">'Sch4. (A)'!#REF!</definedName>
    <definedName name="Z_C5E94E5F_7832_42A4_B652_CE6B29907A36_.wvu.PrintTitles" localSheetId="10" hidden="1">'Sch4. (B)'!#REF!</definedName>
    <definedName name="Z_C5E94E5F_7832_42A4_B652_CE6B29907A36_.wvu.PrintTitles" localSheetId="6" hidden="1">'Schedule S1'!#REF!</definedName>
    <definedName name="Z_C5E94E5F_7832_42A4_B652_CE6B29907A36_.wvu.PrintTitles" localSheetId="7" hidden="1">'Schedule S2'!#REF!</definedName>
    <definedName name="Z_C61C96C1_2EEF_4553_9547_26BAB2F67F0E_.wvu.PrintArea" localSheetId="5" hidden="1">Dayworks!$A$8:$F$19</definedName>
    <definedName name="Z_C61C96C1_2EEF_4553_9547_26BAB2F67F0E_.wvu.PrintArea" localSheetId="8" hidden="1">'Sch1.  (B)'!$A$19:$F$19</definedName>
    <definedName name="Z_C61C96C1_2EEF_4553_9547_26BAB2F67F0E_.wvu.PrintArea" localSheetId="2" hidden="1">'Sch1. (A)'!$A$19:$F$19</definedName>
    <definedName name="Z_C61C96C1_2EEF_4553_9547_26BAB2F67F0E_.wvu.PrintArea" localSheetId="3" hidden="1">'Sch3. (A)'!$A$6:$F$20</definedName>
    <definedName name="Z_C61C96C1_2EEF_4553_9547_26BAB2F67F0E_.wvu.PrintArea" localSheetId="9" hidden="1">'Sch3. (B)'!$A$6:$F$20</definedName>
    <definedName name="Z_C61C96C1_2EEF_4553_9547_26BAB2F67F0E_.wvu.PrintArea" localSheetId="4" hidden="1">'Sch4. (A)'!$A$8:$F$33</definedName>
    <definedName name="Z_C61C96C1_2EEF_4553_9547_26BAB2F67F0E_.wvu.PrintArea" localSheetId="10" hidden="1">'Sch4. (B)'!$A$8:$F$33</definedName>
    <definedName name="Z_C61C96C1_2EEF_4553_9547_26BAB2F67F0E_.wvu.PrintArea" localSheetId="6" hidden="1">'Schedule S1'!$A$6:$F$19</definedName>
    <definedName name="Z_C61C96C1_2EEF_4553_9547_26BAB2F67F0E_.wvu.PrintArea" localSheetId="7" hidden="1">'Schedule S2'!$A$6:$F$27</definedName>
    <definedName name="Z_C61C96C1_2EEF_4553_9547_26BAB2F67F0E_.wvu.PrintTitles" localSheetId="5" hidden="1">Dayworks!#REF!</definedName>
    <definedName name="Z_C61C96C1_2EEF_4553_9547_26BAB2F67F0E_.wvu.PrintTitles" localSheetId="8" hidden="1">'Sch1.  (B)'!#REF!</definedName>
    <definedName name="Z_C61C96C1_2EEF_4553_9547_26BAB2F67F0E_.wvu.PrintTitles" localSheetId="2" hidden="1">'Sch1. (A)'!#REF!</definedName>
    <definedName name="Z_C61C96C1_2EEF_4553_9547_26BAB2F67F0E_.wvu.PrintTitles" localSheetId="3" hidden="1">'Sch3. (A)'!#REF!</definedName>
    <definedName name="Z_C61C96C1_2EEF_4553_9547_26BAB2F67F0E_.wvu.PrintTitles" localSheetId="9" hidden="1">'Sch3. (B)'!#REF!</definedName>
    <definedName name="Z_C61C96C1_2EEF_4553_9547_26BAB2F67F0E_.wvu.PrintTitles" localSheetId="4" hidden="1">'Sch4. (A)'!#REF!</definedName>
    <definedName name="Z_C61C96C1_2EEF_4553_9547_26BAB2F67F0E_.wvu.PrintTitles" localSheetId="10" hidden="1">'Sch4. (B)'!#REF!</definedName>
    <definedName name="Z_C61C96C1_2EEF_4553_9547_26BAB2F67F0E_.wvu.PrintTitles" localSheetId="6" hidden="1">'Schedule S1'!#REF!</definedName>
    <definedName name="Z_C61C96C1_2EEF_4553_9547_26BAB2F67F0E_.wvu.PrintTitles" localSheetId="7" hidden="1">'Schedule S2'!#REF!</definedName>
    <definedName name="Z_CBC1F87E_308F_46E5_8538_C611C8BF6112_.wvu.Cols" localSheetId="8" hidden="1">'Sch1.  (B)'!#REF!</definedName>
    <definedName name="Z_CBC1F87E_308F_46E5_8538_C611C8BF6112_.wvu.Cols" localSheetId="2" hidden="1">'Sch1. (A)'!#REF!</definedName>
    <definedName name="Z_CBC1F87E_308F_46E5_8538_C611C8BF6112_.wvu.Cols" localSheetId="3" hidden="1">'Sch3. (A)'!#REF!</definedName>
    <definedName name="Z_CBC1F87E_308F_46E5_8538_C611C8BF6112_.wvu.Cols" localSheetId="9" hidden="1">'Sch3. (B)'!#REF!</definedName>
    <definedName name="Z_CBC1F87E_308F_46E5_8538_C611C8BF6112_.wvu.Cols" localSheetId="4" hidden="1">'Sch4. (A)'!#REF!</definedName>
    <definedName name="Z_CBC1F87E_308F_46E5_8538_C611C8BF6112_.wvu.Cols" localSheetId="10" hidden="1">'Sch4. (B)'!#REF!</definedName>
    <definedName name="Z_CBC1F87E_308F_46E5_8538_C611C8BF6112_.wvu.PrintArea" localSheetId="5" hidden="1">Dayworks!$A$8:$F$19</definedName>
    <definedName name="Z_CBC1F87E_308F_46E5_8538_C611C8BF6112_.wvu.PrintArea" localSheetId="8" hidden="1">'Sch1.  (B)'!$A$19:$F$19</definedName>
    <definedName name="Z_CBC1F87E_308F_46E5_8538_C611C8BF6112_.wvu.PrintArea" localSheetId="2" hidden="1">'Sch1. (A)'!$A$19:$F$19</definedName>
    <definedName name="Z_CBC1F87E_308F_46E5_8538_C611C8BF6112_.wvu.PrintArea" localSheetId="3" hidden="1">'Sch3. (A)'!$A$6:$F$20</definedName>
    <definedName name="Z_CBC1F87E_308F_46E5_8538_C611C8BF6112_.wvu.PrintArea" localSheetId="9" hidden="1">'Sch3. (B)'!$A$6:$F$20</definedName>
    <definedName name="Z_CBC1F87E_308F_46E5_8538_C611C8BF6112_.wvu.PrintArea" localSheetId="4" hidden="1">'Sch4. (A)'!$A$8:$F$33</definedName>
    <definedName name="Z_CBC1F87E_308F_46E5_8538_C611C8BF6112_.wvu.PrintArea" localSheetId="10" hidden="1">'Sch4. (B)'!$A$8:$F$33</definedName>
    <definedName name="Z_CBC1F87E_308F_46E5_8538_C611C8BF6112_.wvu.PrintArea" localSheetId="6" hidden="1">'Schedule S1'!$A$6:$F$19</definedName>
    <definedName name="Z_CBC1F87E_308F_46E5_8538_C611C8BF6112_.wvu.PrintArea" localSheetId="7" hidden="1">'Schedule S2'!$A$6:$F$27</definedName>
    <definedName name="Z_CBC1F87E_308F_46E5_8538_C611C8BF6112_.wvu.PrintTitles" localSheetId="5" hidden="1">Dayworks!#REF!</definedName>
    <definedName name="Z_CBC1F87E_308F_46E5_8538_C611C8BF6112_.wvu.PrintTitles" localSheetId="8" hidden="1">'Sch1.  (B)'!#REF!</definedName>
    <definedName name="Z_CBC1F87E_308F_46E5_8538_C611C8BF6112_.wvu.PrintTitles" localSheetId="2" hidden="1">'Sch1. (A)'!#REF!</definedName>
    <definedName name="Z_CBC1F87E_308F_46E5_8538_C611C8BF6112_.wvu.PrintTitles" localSheetId="3" hidden="1">'Sch3. (A)'!#REF!</definedName>
    <definedName name="Z_CBC1F87E_308F_46E5_8538_C611C8BF6112_.wvu.PrintTitles" localSheetId="9" hidden="1">'Sch3. (B)'!#REF!</definedName>
    <definedName name="Z_CBC1F87E_308F_46E5_8538_C611C8BF6112_.wvu.PrintTitles" localSheetId="4" hidden="1">'Sch4. (A)'!#REF!</definedName>
    <definedName name="Z_CBC1F87E_308F_46E5_8538_C611C8BF6112_.wvu.PrintTitles" localSheetId="10" hidden="1">'Sch4. (B)'!#REF!</definedName>
    <definedName name="Z_CBC1F87E_308F_46E5_8538_C611C8BF6112_.wvu.PrintTitles" localSheetId="6" hidden="1">'Schedule S1'!#REF!</definedName>
    <definedName name="Z_CBC1F87E_308F_46E5_8538_C611C8BF6112_.wvu.PrintTitles" localSheetId="7" hidden="1">'Schedule S2'!#REF!</definedName>
    <definedName name="Z_E706E465_54A0_41F7_AF82_0D59AB6E2399_.wvu.Cols" localSheetId="8" hidden="1">'Sch1.  (B)'!#REF!</definedName>
    <definedName name="Z_E706E465_54A0_41F7_AF82_0D59AB6E2399_.wvu.Cols" localSheetId="2" hidden="1">'Sch1. (A)'!#REF!</definedName>
    <definedName name="Z_E706E465_54A0_41F7_AF82_0D59AB6E2399_.wvu.Cols" localSheetId="3" hidden="1">'Sch3. (A)'!#REF!</definedName>
    <definedName name="Z_E706E465_54A0_41F7_AF82_0D59AB6E2399_.wvu.Cols" localSheetId="9" hidden="1">'Sch3. (B)'!#REF!</definedName>
    <definedName name="Z_E706E465_54A0_41F7_AF82_0D59AB6E2399_.wvu.Cols" localSheetId="4" hidden="1">'Sch4. (A)'!#REF!</definedName>
    <definedName name="Z_E706E465_54A0_41F7_AF82_0D59AB6E2399_.wvu.Cols" localSheetId="10" hidden="1">'Sch4. (B)'!#REF!</definedName>
    <definedName name="Z_E706E465_54A0_41F7_AF82_0D59AB6E2399_.wvu.PrintArea" localSheetId="5" hidden="1">Dayworks!$A$8:$F$19</definedName>
    <definedName name="Z_E706E465_54A0_41F7_AF82_0D59AB6E2399_.wvu.PrintArea" localSheetId="8" hidden="1">'Sch1.  (B)'!$A$19:$F$19</definedName>
    <definedName name="Z_E706E465_54A0_41F7_AF82_0D59AB6E2399_.wvu.PrintArea" localSheetId="2" hidden="1">'Sch1. (A)'!$A$19:$F$19</definedName>
    <definedName name="Z_E706E465_54A0_41F7_AF82_0D59AB6E2399_.wvu.PrintArea" localSheetId="3" hidden="1">'Sch3. (A)'!$A$6:$F$20</definedName>
    <definedName name="Z_E706E465_54A0_41F7_AF82_0D59AB6E2399_.wvu.PrintArea" localSheetId="9" hidden="1">'Sch3. (B)'!$A$6:$F$20</definedName>
    <definedName name="Z_E706E465_54A0_41F7_AF82_0D59AB6E2399_.wvu.PrintArea" localSheetId="4" hidden="1">'Sch4. (A)'!$A$8:$F$33</definedName>
    <definedName name="Z_E706E465_54A0_41F7_AF82_0D59AB6E2399_.wvu.PrintArea" localSheetId="10" hidden="1">'Sch4. (B)'!$A$8:$F$33</definedName>
    <definedName name="Z_E706E465_54A0_41F7_AF82_0D59AB6E2399_.wvu.PrintArea" localSheetId="6" hidden="1">'Schedule S1'!$A$6:$F$19</definedName>
    <definedName name="Z_E706E465_54A0_41F7_AF82_0D59AB6E2399_.wvu.PrintArea" localSheetId="7" hidden="1">'Schedule S2'!$A$6:$F$27</definedName>
    <definedName name="Z_E706E465_54A0_41F7_AF82_0D59AB6E2399_.wvu.PrintTitles" localSheetId="5" hidden="1">Dayworks!#REF!</definedName>
    <definedName name="Z_E706E465_54A0_41F7_AF82_0D59AB6E2399_.wvu.PrintTitles" localSheetId="8" hidden="1">'Sch1.  (B)'!#REF!</definedName>
    <definedName name="Z_E706E465_54A0_41F7_AF82_0D59AB6E2399_.wvu.PrintTitles" localSheetId="2" hidden="1">'Sch1. (A)'!#REF!</definedName>
    <definedName name="Z_E706E465_54A0_41F7_AF82_0D59AB6E2399_.wvu.PrintTitles" localSheetId="3" hidden="1">'Sch3. (A)'!#REF!</definedName>
    <definedName name="Z_E706E465_54A0_41F7_AF82_0D59AB6E2399_.wvu.PrintTitles" localSheetId="9" hidden="1">'Sch3. (B)'!#REF!</definedName>
    <definedName name="Z_E706E465_54A0_41F7_AF82_0D59AB6E2399_.wvu.PrintTitles" localSheetId="4" hidden="1">'Sch4. (A)'!#REF!</definedName>
    <definedName name="Z_E706E465_54A0_41F7_AF82_0D59AB6E2399_.wvu.PrintTitles" localSheetId="10" hidden="1">'Sch4. (B)'!#REF!</definedName>
    <definedName name="Z_E706E465_54A0_41F7_AF82_0D59AB6E2399_.wvu.PrintTitles" localSheetId="6" hidden="1">'Schedule S1'!#REF!</definedName>
    <definedName name="Z_E706E465_54A0_41F7_AF82_0D59AB6E2399_.wvu.PrintTitles" localSheetId="7" hidden="1">'Schedule S2'!#REF!</definedName>
    <definedName name="zb">zb</definedName>
    <definedName name="ZBJBL">[7]GS!$F$112</definedName>
    <definedName name="ZBQ">[5]基础数据!$D$54</definedName>
    <definedName name="zfyg">#REF!</definedName>
    <definedName name="zgq">[12]Data!$C$28</definedName>
    <definedName name="zj">[16]汇率!$C$33</definedName>
    <definedName name="zjg">[9]基础数据表!$C$20</definedName>
    <definedName name="zpjl">#REF!</definedName>
    <definedName name="zq">[17]总表!$D$44</definedName>
    <definedName name="zx">zx</definedName>
    <definedName name="zz">zz</definedName>
    <definedName name="zzs">[7]汇率!$C$26</definedName>
    <definedName name="一">一</definedName>
    <definedName name="中">中</definedName>
    <definedName name="二">二</definedName>
    <definedName name="二泵设备底稿">二泵设备底稿</definedName>
    <definedName name="圆形构筑物">圆形构筑物</definedName>
    <definedName name="市场价">市场价</definedName>
    <definedName name="数据库管理">数据库管理</definedName>
    <definedName name="数据查询">数据查询</definedName>
    <definedName name="新山村">新山村</definedName>
    <definedName name="朱冰">朱冰</definedName>
    <definedName name="材料">#REF!</definedName>
    <definedName name="材料汇报" hidden="1">#REF!</definedName>
    <definedName name="池">池</definedName>
    <definedName name="池池">池池</definedName>
    <definedName name="池池池">池池池</definedName>
    <definedName name="清">清</definedName>
    <definedName name="清单" hidden="1">#REF!</definedName>
    <definedName name="清单是" hidden="1">#REF!</definedName>
    <definedName name="清水池管配件">清水池管配件</definedName>
    <definedName name="清水池进口">清水池进口</definedName>
    <definedName name="表1">'[16]1.BOQ'!$1:$1048576</definedName>
    <definedName name="表4">'[16]4a.BOQ Main Tunnel'!$1:$1048576</definedName>
    <definedName name="表5">'[16]5.BOQ Gikigie Adit'!$1:$1048576</definedName>
    <definedName name="表6">'[16]6.BOQ Irati Shaft and Adit'!$1:$1048576</definedName>
    <definedName name="设备">#REF!</definedName>
    <definedName name="起">起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1" i="12" l="1"/>
  <c r="L31" i="12" s="1"/>
  <c r="G31" i="12"/>
  <c r="H31" i="12" s="1"/>
  <c r="F31" i="12"/>
  <c r="E31" i="12"/>
  <c r="D31" i="12"/>
  <c r="M31" i="12" s="1"/>
  <c r="N31" i="12" s="1"/>
  <c r="O31" i="12" s="1"/>
  <c r="K29" i="12"/>
  <c r="I29" i="12" s="1"/>
  <c r="J29" i="12" s="1"/>
  <c r="G29" i="12"/>
  <c r="H29" i="12" s="1"/>
  <c r="E29" i="12"/>
  <c r="D29" i="12"/>
  <c r="F29" i="12" s="1"/>
  <c r="K27" i="12"/>
  <c r="L27" i="12" s="1"/>
  <c r="G27" i="12"/>
  <c r="H27" i="12" s="1"/>
  <c r="F27" i="12"/>
  <c r="E27" i="12"/>
  <c r="D27" i="12"/>
  <c r="M27" i="12" s="1"/>
  <c r="N27" i="12" s="1"/>
  <c r="O27" i="12" s="1"/>
  <c r="K25" i="12"/>
  <c r="I25" i="12" s="1"/>
  <c r="J25" i="12" s="1"/>
  <c r="G25" i="12"/>
  <c r="H25" i="12" s="1"/>
  <c r="E25" i="12"/>
  <c r="D25" i="12"/>
  <c r="F25" i="12" s="1"/>
  <c r="K23" i="12"/>
  <c r="L23" i="12" s="1"/>
  <c r="G23" i="12"/>
  <c r="H23" i="12" s="1"/>
  <c r="F23" i="12"/>
  <c r="E23" i="12"/>
  <c r="D23" i="12"/>
  <c r="M23" i="12" s="1"/>
  <c r="N23" i="12" s="1"/>
  <c r="O23" i="12" s="1"/>
  <c r="K21" i="12"/>
  <c r="I21" i="12" s="1"/>
  <c r="J21" i="12" s="1"/>
  <c r="G21" i="12"/>
  <c r="H21" i="12" s="1"/>
  <c r="E21" i="12"/>
  <c r="D21" i="12"/>
  <c r="F21" i="12" s="1"/>
  <c r="K19" i="12"/>
  <c r="L19" i="12" s="1"/>
  <c r="G19" i="12"/>
  <c r="H19" i="12" s="1"/>
  <c r="F19" i="12"/>
  <c r="E19" i="12"/>
  <c r="D19" i="12"/>
  <c r="M19" i="12" s="1"/>
  <c r="N19" i="12" s="1"/>
  <c r="O19" i="12" s="1"/>
  <c r="K17" i="12"/>
  <c r="I17" i="12" s="1"/>
  <c r="J17" i="12" s="1"/>
  <c r="G17" i="12"/>
  <c r="H17" i="12" s="1"/>
  <c r="E17" i="12"/>
  <c r="D17" i="12"/>
  <c r="F17" i="12" s="1"/>
  <c r="K15" i="12"/>
  <c r="L15" i="12" s="1"/>
  <c r="G15" i="12"/>
  <c r="H15" i="12" s="1"/>
  <c r="F15" i="12"/>
  <c r="E15" i="12"/>
  <c r="D15" i="12"/>
  <c r="M15" i="12" s="1"/>
  <c r="N15" i="12" s="1"/>
  <c r="O15" i="12" s="1"/>
  <c r="K12" i="12"/>
  <c r="I12" i="12" s="1"/>
  <c r="J12" i="12" s="1"/>
  <c r="G12" i="12"/>
  <c r="H12" i="12" s="1"/>
  <c r="F12" i="12"/>
  <c r="E12" i="12"/>
  <c r="D12" i="12"/>
  <c r="M12" i="12" s="1"/>
  <c r="N12" i="12" s="1"/>
  <c r="O12" i="12" s="1"/>
  <c r="K10" i="12"/>
  <c r="L10" i="12" s="1"/>
  <c r="G10" i="12"/>
  <c r="H10" i="12" s="1"/>
  <c r="F10" i="12"/>
  <c r="F33" i="12" s="1"/>
  <c r="D18" i="3" s="1"/>
  <c r="E10" i="12"/>
  <c r="D10" i="12"/>
  <c r="M10" i="12" s="1"/>
  <c r="N10" i="12" s="1"/>
  <c r="M4" i="12"/>
  <c r="B4" i="12"/>
  <c r="B3" i="12"/>
  <c r="B2" i="12"/>
  <c r="B1" i="12"/>
  <c r="N18" i="11"/>
  <c r="O18" i="11" s="1"/>
  <c r="M18" i="11"/>
  <c r="K18" i="11"/>
  <c r="L18" i="11" s="1"/>
  <c r="I18" i="11"/>
  <c r="J18" i="11" s="1"/>
  <c r="H18" i="11"/>
  <c r="G18" i="11"/>
  <c r="F18" i="11"/>
  <c r="E18" i="11"/>
  <c r="D18" i="11"/>
  <c r="K16" i="11"/>
  <c r="I16" i="11" s="1"/>
  <c r="J16" i="11" s="1"/>
  <c r="G16" i="11"/>
  <c r="H16" i="11" s="1"/>
  <c r="E16" i="11"/>
  <c r="L16" i="11" s="1"/>
  <c r="D16" i="11"/>
  <c r="F16" i="11" s="1"/>
  <c r="N14" i="11"/>
  <c r="O14" i="11" s="1"/>
  <c r="M14" i="11"/>
  <c r="K14" i="11"/>
  <c r="L14" i="11" s="1"/>
  <c r="I14" i="11"/>
  <c r="J14" i="11" s="1"/>
  <c r="H14" i="11"/>
  <c r="G14" i="11"/>
  <c r="F14" i="11"/>
  <c r="E14" i="11"/>
  <c r="D14" i="11"/>
  <c r="M12" i="11"/>
  <c r="N12" i="11" s="1"/>
  <c r="O12" i="11" s="1"/>
  <c r="K12" i="11"/>
  <c r="I12" i="11" s="1"/>
  <c r="J12" i="11" s="1"/>
  <c r="G12" i="11"/>
  <c r="H12" i="11" s="1"/>
  <c r="E12" i="11"/>
  <c r="L12" i="11" s="1"/>
  <c r="D12" i="11"/>
  <c r="F12" i="11" s="1"/>
  <c r="N10" i="11"/>
  <c r="M10" i="11"/>
  <c r="K10" i="11"/>
  <c r="L10" i="11" s="1"/>
  <c r="I10" i="11"/>
  <c r="J10" i="11" s="1"/>
  <c r="J20" i="11" s="1"/>
  <c r="H10" i="11"/>
  <c r="H20" i="11" s="1"/>
  <c r="G10" i="11"/>
  <c r="F10" i="11"/>
  <c r="E10" i="11"/>
  <c r="D10" i="11"/>
  <c r="M4" i="11"/>
  <c r="B4" i="11"/>
  <c r="B3" i="11"/>
  <c r="B2" i="11"/>
  <c r="B1" i="11"/>
  <c r="F19" i="10"/>
  <c r="T17" i="10"/>
  <c r="S17" i="10"/>
  <c r="N17" i="10" s="1"/>
  <c r="O17" i="10" s="1"/>
  <c r="Q17" i="10"/>
  <c r="L17" i="10" s="1"/>
  <c r="M17" i="10" s="1"/>
  <c r="I17" i="10"/>
  <c r="J17" i="10" s="1"/>
  <c r="G17" i="10"/>
  <c r="H17" i="10" s="1"/>
  <c r="E17" i="10"/>
  <c r="D17" i="10"/>
  <c r="V17" i="10" s="1"/>
  <c r="W17" i="10" s="1"/>
  <c r="T15" i="10"/>
  <c r="S15" i="10"/>
  <c r="N15" i="10" s="1"/>
  <c r="O15" i="10" s="1"/>
  <c r="P15" i="10" s="1"/>
  <c r="Q15" i="10"/>
  <c r="L15" i="10" s="1"/>
  <c r="M15" i="10" s="1"/>
  <c r="I15" i="10"/>
  <c r="J15" i="10" s="1"/>
  <c r="K15" i="10" s="1"/>
  <c r="G15" i="10"/>
  <c r="H15" i="10" s="1"/>
  <c r="E15" i="10"/>
  <c r="D15" i="10"/>
  <c r="V15" i="10" s="1"/>
  <c r="W15" i="10" s="1"/>
  <c r="T13" i="10"/>
  <c r="S13" i="10"/>
  <c r="N13" i="10" s="1"/>
  <c r="O13" i="10" s="1"/>
  <c r="Q13" i="10"/>
  <c r="L13" i="10" s="1"/>
  <c r="M13" i="10" s="1"/>
  <c r="I13" i="10"/>
  <c r="J13" i="10" s="1"/>
  <c r="G13" i="10"/>
  <c r="H13" i="10" s="1"/>
  <c r="E13" i="10"/>
  <c r="D13" i="10"/>
  <c r="V13" i="10" s="1"/>
  <c r="W13" i="10" s="1"/>
  <c r="T11" i="10"/>
  <c r="S11" i="10"/>
  <c r="N11" i="10" s="1"/>
  <c r="O11" i="10" s="1"/>
  <c r="Q11" i="10"/>
  <c r="L11" i="10" s="1"/>
  <c r="M11" i="10" s="1"/>
  <c r="I11" i="10"/>
  <c r="J11" i="10" s="1"/>
  <c r="G11" i="10"/>
  <c r="H11" i="10" s="1"/>
  <c r="E11" i="10"/>
  <c r="D11" i="10"/>
  <c r="V11" i="10" s="1"/>
  <c r="W11" i="10" s="1"/>
  <c r="AD8" i="10"/>
  <c r="AB8" i="10"/>
  <c r="Y4" i="10"/>
  <c r="B4" i="10"/>
  <c r="B3" i="10"/>
  <c r="B2" i="10"/>
  <c r="B1" i="10"/>
  <c r="M25" i="9"/>
  <c r="N25" i="9" s="1"/>
  <c r="O25" i="9" s="1"/>
  <c r="L25" i="9"/>
  <c r="I25" i="9"/>
  <c r="J25" i="9" s="1"/>
  <c r="H25" i="9"/>
  <c r="F25" i="9"/>
  <c r="M23" i="9"/>
  <c r="N23" i="9" s="1"/>
  <c r="O23" i="9" s="1"/>
  <c r="L23" i="9"/>
  <c r="I23" i="9"/>
  <c r="J23" i="9" s="1"/>
  <c r="H23" i="9"/>
  <c r="F23" i="9"/>
  <c r="M21" i="9"/>
  <c r="N21" i="9" s="1"/>
  <c r="O21" i="9" s="1"/>
  <c r="L21" i="9"/>
  <c r="I21" i="9"/>
  <c r="J21" i="9" s="1"/>
  <c r="H21" i="9"/>
  <c r="F21" i="9"/>
  <c r="M19" i="9"/>
  <c r="N19" i="9" s="1"/>
  <c r="O19" i="9" s="1"/>
  <c r="L19" i="9"/>
  <c r="I19" i="9"/>
  <c r="J19" i="9" s="1"/>
  <c r="H19" i="9"/>
  <c r="F19" i="9"/>
  <c r="M17" i="9"/>
  <c r="N17" i="9" s="1"/>
  <c r="O17" i="9" s="1"/>
  <c r="L17" i="9"/>
  <c r="I17" i="9"/>
  <c r="J17" i="9" s="1"/>
  <c r="H17" i="9"/>
  <c r="F17" i="9"/>
  <c r="M15" i="9"/>
  <c r="N15" i="9" s="1"/>
  <c r="O15" i="9" s="1"/>
  <c r="L15" i="9"/>
  <c r="I15" i="9"/>
  <c r="J15" i="9" s="1"/>
  <c r="H15" i="9"/>
  <c r="F15" i="9"/>
  <c r="M13" i="9"/>
  <c r="N13" i="9" s="1"/>
  <c r="O13" i="9" s="1"/>
  <c r="L13" i="9"/>
  <c r="I13" i="9"/>
  <c r="J13" i="9" s="1"/>
  <c r="H13" i="9"/>
  <c r="F13" i="9"/>
  <c r="M11" i="9"/>
  <c r="N11" i="9" s="1"/>
  <c r="O11" i="9" s="1"/>
  <c r="L11" i="9"/>
  <c r="I11" i="9"/>
  <c r="J11" i="9" s="1"/>
  <c r="H11" i="9"/>
  <c r="F11" i="9"/>
  <c r="M9" i="9"/>
  <c r="N9" i="9" s="1"/>
  <c r="L9" i="9"/>
  <c r="L27" i="9" s="1"/>
  <c r="I9" i="9"/>
  <c r="J9" i="9" s="1"/>
  <c r="H9" i="9"/>
  <c r="H27" i="9" s="1"/>
  <c r="F9" i="9"/>
  <c r="F27" i="9" s="1"/>
  <c r="M4" i="9"/>
  <c r="B4" i="9"/>
  <c r="B3" i="9"/>
  <c r="B2" i="9"/>
  <c r="B1" i="9"/>
  <c r="M17" i="8"/>
  <c r="N17" i="8" s="1"/>
  <c r="O17" i="8" s="1"/>
  <c r="L17" i="8"/>
  <c r="I17" i="8"/>
  <c r="J17" i="8" s="1"/>
  <c r="H17" i="8"/>
  <c r="F17" i="8"/>
  <c r="M15" i="8"/>
  <c r="N15" i="8" s="1"/>
  <c r="O15" i="8" s="1"/>
  <c r="L15" i="8"/>
  <c r="I15" i="8"/>
  <c r="J15" i="8" s="1"/>
  <c r="H15" i="8"/>
  <c r="F15" i="8"/>
  <c r="M13" i="8"/>
  <c r="N13" i="8" s="1"/>
  <c r="O13" i="8" s="1"/>
  <c r="L13" i="8"/>
  <c r="I13" i="8"/>
  <c r="J13" i="8" s="1"/>
  <c r="H13" i="8"/>
  <c r="F13" i="8"/>
  <c r="M11" i="8"/>
  <c r="N11" i="8" s="1"/>
  <c r="O11" i="8" s="1"/>
  <c r="L11" i="8"/>
  <c r="I11" i="8"/>
  <c r="J11" i="8" s="1"/>
  <c r="H11" i="8"/>
  <c r="F11" i="8"/>
  <c r="M9" i="8"/>
  <c r="N9" i="8" s="1"/>
  <c r="L9" i="8"/>
  <c r="L19" i="8" s="1"/>
  <c r="I9" i="8"/>
  <c r="J9" i="8" s="1"/>
  <c r="H9" i="8"/>
  <c r="H19" i="8" s="1"/>
  <c r="F9" i="8"/>
  <c r="F19" i="8" s="1"/>
  <c r="M4" i="8"/>
  <c r="B4" i="8"/>
  <c r="B3" i="8"/>
  <c r="B2" i="8"/>
  <c r="B1" i="8"/>
  <c r="M17" i="7"/>
  <c r="N17" i="7" s="1"/>
  <c r="O17" i="7" s="1"/>
  <c r="L17" i="7"/>
  <c r="I17" i="7"/>
  <c r="J17" i="7" s="1"/>
  <c r="H17" i="7"/>
  <c r="F17" i="7"/>
  <c r="M15" i="7"/>
  <c r="N15" i="7" s="1"/>
  <c r="O15" i="7" s="1"/>
  <c r="L15" i="7"/>
  <c r="I15" i="7"/>
  <c r="J15" i="7" s="1"/>
  <c r="H15" i="7"/>
  <c r="F15" i="7"/>
  <c r="M13" i="7"/>
  <c r="N13" i="7" s="1"/>
  <c r="O13" i="7" s="1"/>
  <c r="L13" i="7"/>
  <c r="I13" i="7"/>
  <c r="J13" i="7" s="1"/>
  <c r="H13" i="7"/>
  <c r="F13" i="7"/>
  <c r="M11" i="7"/>
  <c r="N11" i="7" s="1"/>
  <c r="O11" i="7" s="1"/>
  <c r="L11" i="7"/>
  <c r="I11" i="7"/>
  <c r="J11" i="7" s="1"/>
  <c r="H11" i="7"/>
  <c r="F11" i="7"/>
  <c r="M9" i="7"/>
  <c r="N9" i="7" s="1"/>
  <c r="L9" i="7"/>
  <c r="L19" i="7" s="1"/>
  <c r="M19" i="3" s="1"/>
  <c r="I9" i="7"/>
  <c r="J9" i="7" s="1"/>
  <c r="H9" i="7"/>
  <c r="H19" i="7" s="1"/>
  <c r="F9" i="7"/>
  <c r="F19" i="7" s="1"/>
  <c r="D19" i="3" s="1"/>
  <c r="M4" i="7"/>
  <c r="B4" i="7"/>
  <c r="B3" i="7"/>
  <c r="B2" i="7"/>
  <c r="B1" i="7"/>
  <c r="F33" i="6"/>
  <c r="M31" i="6"/>
  <c r="N31" i="6" s="1"/>
  <c r="O31" i="6" s="1"/>
  <c r="L31" i="6"/>
  <c r="I31" i="6"/>
  <c r="J31" i="6" s="1"/>
  <c r="H31" i="6"/>
  <c r="M29" i="6"/>
  <c r="N29" i="6" s="1"/>
  <c r="O29" i="6" s="1"/>
  <c r="L29" i="6"/>
  <c r="J29" i="6"/>
  <c r="I29" i="6"/>
  <c r="H29" i="6"/>
  <c r="N27" i="6"/>
  <c r="O27" i="6" s="1"/>
  <c r="M27" i="6"/>
  <c r="L27" i="6"/>
  <c r="J27" i="6"/>
  <c r="I27" i="6"/>
  <c r="H27" i="6"/>
  <c r="M25" i="6"/>
  <c r="N25" i="6" s="1"/>
  <c r="O25" i="6" s="1"/>
  <c r="L25" i="6"/>
  <c r="I25" i="6"/>
  <c r="J25" i="6" s="1"/>
  <c r="H25" i="6"/>
  <c r="N23" i="6"/>
  <c r="O23" i="6" s="1"/>
  <c r="M23" i="6"/>
  <c r="L23" i="6"/>
  <c r="I23" i="6"/>
  <c r="J23" i="6" s="1"/>
  <c r="H23" i="6"/>
  <c r="M21" i="6"/>
  <c r="N21" i="6" s="1"/>
  <c r="O21" i="6" s="1"/>
  <c r="L21" i="6"/>
  <c r="J21" i="6"/>
  <c r="I21" i="6"/>
  <c r="H21" i="6"/>
  <c r="O19" i="6"/>
  <c r="N19" i="6"/>
  <c r="M19" i="6"/>
  <c r="L19" i="6"/>
  <c r="I19" i="6"/>
  <c r="J19" i="6" s="1"/>
  <c r="H19" i="6"/>
  <c r="N17" i="6"/>
  <c r="O17" i="6" s="1"/>
  <c r="M17" i="6"/>
  <c r="L17" i="6"/>
  <c r="J17" i="6"/>
  <c r="I17" i="6"/>
  <c r="H17" i="6"/>
  <c r="M15" i="6"/>
  <c r="N15" i="6" s="1"/>
  <c r="O15" i="6" s="1"/>
  <c r="L15" i="6"/>
  <c r="I15" i="6"/>
  <c r="J15" i="6" s="1"/>
  <c r="J33" i="6" s="1"/>
  <c r="H15" i="6"/>
  <c r="M12" i="6"/>
  <c r="N12" i="6" s="1"/>
  <c r="O12" i="6" s="1"/>
  <c r="L12" i="6"/>
  <c r="J12" i="6"/>
  <c r="I12" i="6"/>
  <c r="H12" i="6"/>
  <c r="N10" i="6"/>
  <c r="N33" i="6" s="1"/>
  <c r="O33" i="6" s="1"/>
  <c r="M10" i="6"/>
  <c r="L10" i="6"/>
  <c r="L33" i="6" s="1"/>
  <c r="G18" i="3" s="1"/>
  <c r="J10" i="6"/>
  <c r="I10" i="6"/>
  <c r="H10" i="6"/>
  <c r="H33" i="6" s="1"/>
  <c r="E18" i="3" s="1"/>
  <c r="M4" i="6"/>
  <c r="B4" i="6"/>
  <c r="B3" i="6"/>
  <c r="B2" i="6"/>
  <c r="B1" i="6"/>
  <c r="F20" i="5"/>
  <c r="M18" i="5"/>
  <c r="N18" i="5" s="1"/>
  <c r="O18" i="5" s="1"/>
  <c r="L18" i="5"/>
  <c r="I18" i="5"/>
  <c r="J18" i="5" s="1"/>
  <c r="H18" i="5"/>
  <c r="M16" i="5"/>
  <c r="N16" i="5" s="1"/>
  <c r="O16" i="5" s="1"/>
  <c r="L16" i="5"/>
  <c r="J16" i="5"/>
  <c r="I16" i="5"/>
  <c r="H16" i="5"/>
  <c r="N14" i="5"/>
  <c r="O14" i="5" s="1"/>
  <c r="M14" i="5"/>
  <c r="L14" i="5"/>
  <c r="J14" i="5"/>
  <c r="I14" i="5"/>
  <c r="H14" i="5"/>
  <c r="M12" i="5"/>
  <c r="N12" i="5" s="1"/>
  <c r="O12" i="5" s="1"/>
  <c r="L12" i="5"/>
  <c r="I12" i="5"/>
  <c r="J12" i="5" s="1"/>
  <c r="H12" i="5"/>
  <c r="N10" i="5"/>
  <c r="M10" i="5"/>
  <c r="L10" i="5"/>
  <c r="L20" i="5" s="1"/>
  <c r="G17" i="3" s="1"/>
  <c r="I10" i="5"/>
  <c r="J10" i="5" s="1"/>
  <c r="H10" i="5"/>
  <c r="H20" i="5" s="1"/>
  <c r="E17" i="3" s="1"/>
  <c r="M4" i="5"/>
  <c r="B4" i="5"/>
  <c r="B3" i="5"/>
  <c r="B2" i="5"/>
  <c r="B1" i="5"/>
  <c r="X17" i="4"/>
  <c r="Y17" i="4" s="1"/>
  <c r="Z17" i="4" s="1"/>
  <c r="AA17" i="4" s="1"/>
  <c r="W17" i="4"/>
  <c r="V17" i="4"/>
  <c r="T17" i="4"/>
  <c r="U17" i="4" s="1"/>
  <c r="R17" i="4"/>
  <c r="N17" i="4"/>
  <c r="O17" i="4" s="1"/>
  <c r="P17" i="4" s="1"/>
  <c r="M17" i="4"/>
  <c r="L17" i="4"/>
  <c r="J17" i="4"/>
  <c r="K17" i="4" s="1"/>
  <c r="H17" i="4"/>
  <c r="F17" i="4"/>
  <c r="Y15" i="4"/>
  <c r="X15" i="4"/>
  <c r="V15" i="4"/>
  <c r="W15" i="4" s="1"/>
  <c r="T15" i="4"/>
  <c r="U15" i="4" s="1"/>
  <c r="R15" i="4"/>
  <c r="O15" i="4"/>
  <c r="P15" i="4" s="1"/>
  <c r="N15" i="4"/>
  <c r="L15" i="4"/>
  <c r="M15" i="4" s="1"/>
  <c r="J15" i="4"/>
  <c r="K15" i="4" s="1"/>
  <c r="H15" i="4"/>
  <c r="F15" i="4"/>
  <c r="X13" i="4"/>
  <c r="Y13" i="4" s="1"/>
  <c r="V13" i="4"/>
  <c r="W13" i="4" s="1"/>
  <c r="T13" i="4"/>
  <c r="U13" i="4" s="1"/>
  <c r="R13" i="4"/>
  <c r="N13" i="4"/>
  <c r="O13" i="4" s="1"/>
  <c r="P13" i="4" s="1"/>
  <c r="L13" i="4"/>
  <c r="M13" i="4" s="1"/>
  <c r="J13" i="4"/>
  <c r="H13" i="4"/>
  <c r="F13" i="4"/>
  <c r="F19" i="4" s="1"/>
  <c r="D15" i="3" s="1"/>
  <c r="X11" i="4"/>
  <c r="Y11" i="4" s="1"/>
  <c r="V11" i="4"/>
  <c r="W11" i="4" s="1"/>
  <c r="W19" i="4" s="1"/>
  <c r="U11" i="4"/>
  <c r="T11" i="4"/>
  <c r="T19" i="4" s="1"/>
  <c r="R11" i="4"/>
  <c r="R19" i="4" s="1"/>
  <c r="N11" i="4"/>
  <c r="O11" i="4" s="1"/>
  <c r="L11" i="4"/>
  <c r="M11" i="4" s="1"/>
  <c r="M19" i="4" s="1"/>
  <c r="K11" i="4"/>
  <c r="J11" i="4"/>
  <c r="J19" i="4" s="1"/>
  <c r="H11" i="4"/>
  <c r="H19" i="4" s="1"/>
  <c r="Y4" i="4"/>
  <c r="B4" i="4"/>
  <c r="B3" i="4"/>
  <c r="B2" i="4"/>
  <c r="B1" i="4"/>
  <c r="K42" i="3"/>
  <c r="M37" i="3"/>
  <c r="L37" i="3" s="1"/>
  <c r="K33" i="3"/>
  <c r="G33" i="3"/>
  <c r="F33" i="3"/>
  <c r="E33" i="3"/>
  <c r="F32" i="3"/>
  <c r="F31" i="3"/>
  <c r="F30" i="3"/>
  <c r="F29" i="3"/>
  <c r="O21" i="3"/>
  <c r="P21" i="3" s="1"/>
  <c r="N21" i="3"/>
  <c r="M21" i="3"/>
  <c r="K21" i="3"/>
  <c r="L21" i="3" s="1"/>
  <c r="I21" i="3"/>
  <c r="H21" i="3"/>
  <c r="F21" i="3"/>
  <c r="F18" i="3"/>
  <c r="K17" i="3"/>
  <c r="D17" i="3"/>
  <c r="P16" i="3"/>
  <c r="G16" i="3"/>
  <c r="F16" i="3" s="1"/>
  <c r="E16" i="3"/>
  <c r="N4" i="3"/>
  <c r="D19" i="2"/>
  <c r="D13" i="2"/>
  <c r="G24" i="3" l="1"/>
  <c r="E24" i="3"/>
  <c r="D20" i="3"/>
  <c r="J27" i="9"/>
  <c r="U11" i="10"/>
  <c r="H33" i="12"/>
  <c r="K18" i="3" s="1"/>
  <c r="Z13" i="4"/>
  <c r="AA13" i="4" s="1"/>
  <c r="N20" i="5"/>
  <c r="O20" i="5" s="1"/>
  <c r="O19" i="3"/>
  <c r="P19" i="3" s="1"/>
  <c r="I19" i="3"/>
  <c r="J19" i="3" s="1"/>
  <c r="H19" i="3"/>
  <c r="J19" i="8"/>
  <c r="O9" i="9"/>
  <c r="N27" i="9"/>
  <c r="O27" i="9" s="1"/>
  <c r="W19" i="10"/>
  <c r="K17" i="10"/>
  <c r="L20" i="11"/>
  <c r="M17" i="3" s="1"/>
  <c r="J24" i="4"/>
  <c r="J22" i="4"/>
  <c r="J20" i="4"/>
  <c r="P11" i="4"/>
  <c r="P19" i="4" s="1"/>
  <c r="O19" i="4"/>
  <c r="K13" i="4"/>
  <c r="K19" i="4" s="1"/>
  <c r="E15" i="3" s="1"/>
  <c r="E20" i="3" s="1"/>
  <c r="J19" i="7"/>
  <c r="O9" i="8"/>
  <c r="N19" i="8"/>
  <c r="O19" i="8" s="1"/>
  <c r="H19" i="10"/>
  <c r="K13" i="10"/>
  <c r="P17" i="10"/>
  <c r="R24" i="4"/>
  <c r="R22" i="4"/>
  <c r="R20" i="4"/>
  <c r="Z15" i="4"/>
  <c r="AA15" i="4" s="1"/>
  <c r="N19" i="3"/>
  <c r="J19" i="10"/>
  <c r="K11" i="10"/>
  <c r="O10" i="12"/>
  <c r="H24" i="4"/>
  <c r="H22" i="4"/>
  <c r="H20" i="4"/>
  <c r="K20" i="4" s="1"/>
  <c r="Z11" i="4"/>
  <c r="Y19" i="4"/>
  <c r="T24" i="4"/>
  <c r="T22" i="4"/>
  <c r="T20" i="4"/>
  <c r="N19" i="7"/>
  <c r="O9" i="7"/>
  <c r="M19" i="10"/>
  <c r="P13" i="10"/>
  <c r="F20" i="11"/>
  <c r="H17" i="3"/>
  <c r="F17" i="3"/>
  <c r="M20" i="4"/>
  <c r="M24" i="4"/>
  <c r="M22" i="4"/>
  <c r="E19" i="3"/>
  <c r="F19" i="3" s="1"/>
  <c r="K19" i="3"/>
  <c r="L19" i="3" s="1"/>
  <c r="M30" i="3"/>
  <c r="L30" i="3" s="1"/>
  <c r="U19" i="4"/>
  <c r="G15" i="3" s="1"/>
  <c r="J20" i="5"/>
  <c r="M39" i="3"/>
  <c r="H18" i="3"/>
  <c r="O19" i="10"/>
  <c r="P11" i="10"/>
  <c r="P19" i="10" s="1"/>
  <c r="I18" i="3"/>
  <c r="J18" i="3" s="1"/>
  <c r="G26" i="3"/>
  <c r="E26" i="3"/>
  <c r="K26" i="3" s="1"/>
  <c r="I17" i="3"/>
  <c r="J17" i="3" s="1"/>
  <c r="J21" i="3"/>
  <c r="O10" i="6"/>
  <c r="X11" i="10"/>
  <c r="Y11" i="10" s="1"/>
  <c r="X13" i="10"/>
  <c r="Y13" i="10" s="1"/>
  <c r="Z13" i="10" s="1"/>
  <c r="AA13" i="10" s="1"/>
  <c r="X15" i="10"/>
  <c r="Y15" i="10" s="1"/>
  <c r="Z15" i="10" s="1"/>
  <c r="AA15" i="10" s="1"/>
  <c r="X17" i="10"/>
  <c r="Y17" i="10" s="1"/>
  <c r="Z17" i="10" s="1"/>
  <c r="AA17" i="10" s="1"/>
  <c r="E25" i="3"/>
  <c r="K25" i="3" s="1"/>
  <c r="O10" i="5"/>
  <c r="R11" i="10"/>
  <c r="R13" i="10"/>
  <c r="U13" i="10" s="1"/>
  <c r="R15" i="10"/>
  <c r="U15" i="10" s="1"/>
  <c r="R17" i="10"/>
  <c r="U17" i="10" s="1"/>
  <c r="O10" i="11"/>
  <c r="L12" i="12"/>
  <c r="L33" i="12" s="1"/>
  <c r="M18" i="3" s="1"/>
  <c r="L17" i="12"/>
  <c r="L21" i="12"/>
  <c r="L25" i="12"/>
  <c r="L29" i="12"/>
  <c r="I10" i="12"/>
  <c r="J10" i="12" s="1"/>
  <c r="I15" i="12"/>
  <c r="J15" i="12" s="1"/>
  <c r="M17" i="12"/>
  <c r="N17" i="12" s="1"/>
  <c r="O17" i="12" s="1"/>
  <c r="I19" i="12"/>
  <c r="J19" i="12" s="1"/>
  <c r="M21" i="12"/>
  <c r="N21" i="12" s="1"/>
  <c r="O21" i="12" s="1"/>
  <c r="I23" i="12"/>
  <c r="J23" i="12" s="1"/>
  <c r="M25" i="12"/>
  <c r="N25" i="12" s="1"/>
  <c r="O25" i="12" s="1"/>
  <c r="I27" i="12"/>
  <c r="J27" i="12" s="1"/>
  <c r="M29" i="12"/>
  <c r="N29" i="12" s="1"/>
  <c r="O29" i="12" s="1"/>
  <c r="I31" i="12"/>
  <c r="J31" i="12" s="1"/>
  <c r="G25" i="3"/>
  <c r="T19" i="10"/>
  <c r="M16" i="11"/>
  <c r="N16" i="11" s="1"/>
  <c r="O16" i="11" s="1"/>
  <c r="F11" i="10"/>
  <c r="F13" i="10"/>
  <c r="F15" i="10"/>
  <c r="F17" i="10"/>
  <c r="E22" i="3" l="1"/>
  <c r="L18" i="3"/>
  <c r="N18" i="3"/>
  <c r="O18" i="3"/>
  <c r="P18" i="3" s="1"/>
  <c r="M32" i="3"/>
  <c r="L32" i="3" s="1"/>
  <c r="L39" i="3"/>
  <c r="P20" i="4"/>
  <c r="K24" i="4"/>
  <c r="U19" i="10"/>
  <c r="M15" i="3" s="1"/>
  <c r="M25" i="3"/>
  <c r="F25" i="3"/>
  <c r="L25" i="3" s="1"/>
  <c r="M26" i="3"/>
  <c r="F26" i="3"/>
  <c r="L26" i="3" s="1"/>
  <c r="H15" i="3"/>
  <c r="G20" i="3"/>
  <c r="F15" i="3"/>
  <c r="F20" i="3" s="1"/>
  <c r="N33" i="12"/>
  <c r="O33" i="12" s="1"/>
  <c r="U22" i="4"/>
  <c r="M38" i="3" s="1"/>
  <c r="N17" i="3"/>
  <c r="L17" i="3"/>
  <c r="U24" i="4"/>
  <c r="M41" i="3" s="1"/>
  <c r="J33" i="12"/>
  <c r="Y19" i="10"/>
  <c r="Z11" i="10"/>
  <c r="K19" i="10"/>
  <c r="K15" i="3" s="1"/>
  <c r="K20" i="3" s="1"/>
  <c r="N20" i="11"/>
  <c r="O20" i="11" s="1"/>
  <c r="O22" i="4"/>
  <c r="O24" i="4"/>
  <c r="P24" i="4" s="1"/>
  <c r="O20" i="4"/>
  <c r="U20" i="4"/>
  <c r="M36" i="3" s="1"/>
  <c r="D22" i="3"/>
  <c r="D43" i="3"/>
  <c r="AA11" i="4"/>
  <c r="Z19" i="4"/>
  <c r="AA19" i="4" s="1"/>
  <c r="K24" i="3"/>
  <c r="K27" i="3" s="1"/>
  <c r="E27" i="3"/>
  <c r="E43" i="3" s="1"/>
  <c r="R19" i="10"/>
  <c r="P22" i="4"/>
  <c r="O17" i="3"/>
  <c r="P17" i="3" s="1"/>
  <c r="I15" i="3"/>
  <c r="K22" i="4"/>
  <c r="F24" i="3"/>
  <c r="G27" i="3"/>
  <c r="D12" i="2" s="1"/>
  <c r="D14" i="2" s="1"/>
  <c r="M24" i="3"/>
  <c r="M27" i="3" s="1"/>
  <c r="D16" i="2" l="1"/>
  <c r="L41" i="3"/>
  <c r="H20" i="3"/>
  <c r="G22" i="3"/>
  <c r="H22" i="3" s="1"/>
  <c r="G43" i="3"/>
  <c r="H43" i="3" s="1"/>
  <c r="F27" i="3"/>
  <c r="F43" i="3" s="1"/>
  <c r="L24" i="3"/>
  <c r="L27" i="3" s="1"/>
  <c r="M31" i="3"/>
  <c r="L31" i="3" s="1"/>
  <c r="L38" i="3"/>
  <c r="M40" i="3"/>
  <c r="L36" i="3"/>
  <c r="L40" i="3" s="1"/>
  <c r="L42" i="3" s="1"/>
  <c r="M29" i="3"/>
  <c r="I20" i="3"/>
  <c r="J15" i="3"/>
  <c r="K22" i="3"/>
  <c r="K43" i="3"/>
  <c r="N15" i="3"/>
  <c r="L15" i="3"/>
  <c r="L20" i="3" s="1"/>
  <c r="M20" i="3"/>
  <c r="O15" i="3"/>
  <c r="P15" i="3" s="1"/>
  <c r="I43" i="3"/>
  <c r="J43" i="3" s="1"/>
  <c r="AA11" i="10"/>
  <c r="Z19" i="10"/>
  <c r="AA19" i="10" s="1"/>
  <c r="F22" i="3"/>
  <c r="M33" i="3" l="1"/>
  <c r="L29" i="3"/>
  <c r="L33" i="3" s="1"/>
  <c r="J20" i="3"/>
  <c r="I22" i="3"/>
  <c r="J22" i="3" s="1"/>
  <c r="M43" i="3"/>
  <c r="N20" i="3"/>
  <c r="M22" i="3"/>
  <c r="O20" i="3"/>
  <c r="P20" i="3" s="1"/>
  <c r="L22" i="3"/>
  <c r="L43" i="3"/>
  <c r="M42" i="3"/>
  <c r="D15" i="2"/>
  <c r="D17" i="2" s="1"/>
  <c r="D9" i="2" l="1"/>
  <c r="D10" i="2" s="1"/>
  <c r="D18" i="2" s="1"/>
  <c r="D20" i="2" s="1"/>
  <c r="N22" i="3"/>
  <c r="O22" i="3"/>
  <c r="P22" i="3" s="1"/>
  <c r="N43" i="3"/>
  <c r="O43" i="3"/>
  <c r="P43" i="3" s="1"/>
</calcChain>
</file>

<file path=xl/sharedStrings.xml><?xml version="1.0" encoding="utf-8"?>
<sst xmlns="http://schemas.openxmlformats.org/spreadsheetml/2006/main" count="658" uniqueCount="259">
  <si>
    <r>
      <rPr>
        <b/>
        <sz val="12"/>
        <color theme="1"/>
        <rFont val="Calibri"/>
        <family val="2"/>
        <charset val="204"/>
        <scheme val="minor"/>
      </rPr>
      <t>Note:</t>
    </r>
    <r>
      <rPr>
        <sz val="12"/>
        <color theme="1"/>
        <rFont val="Calibri"/>
        <family val="2"/>
        <charset val="204"/>
        <scheme val="minor"/>
      </rPr>
      <t xml:space="preserve">
This IPC template does not contain any project-specific numbers, commercial values, or confidential pricing data. The percentages, formulas, and blank fields are included solely to demonstrate and automate the payment-certificate process. The breakdown of contract work completion into percentages reflects a standard method for tracking completed works and is not unique to any specific project. I have permission from my former employer to preserve and share the layout of the IPC template for portfolio and resume purposes.</t>
    </r>
  </si>
  <si>
    <t>Project Name</t>
  </si>
  <si>
    <t>Назване Контракта</t>
  </si>
  <si>
    <r>
      <t xml:space="preserve">Contract No: </t>
    </r>
    <r>
      <rPr>
        <b/>
        <sz val="18"/>
        <rFont val="Times New Roman"/>
        <family val="1"/>
        <charset val="204"/>
      </rPr>
      <t xml:space="preserve">
Name of Contract:</t>
    </r>
    <r>
      <rPr>
        <sz val="18"/>
        <rFont val="Times New Roman"/>
        <family val="1"/>
        <charset val="204"/>
      </rPr>
      <t xml:space="preserve"> </t>
    </r>
    <r>
      <rPr>
        <b/>
        <sz val="18"/>
        <rFont val="Times New Roman"/>
        <family val="1"/>
        <charset val="204"/>
      </rPr>
      <t xml:space="preserve">
Contractor: </t>
    </r>
  </si>
  <si>
    <r>
      <t xml:space="preserve">Контракт: </t>
    </r>
    <r>
      <rPr>
        <b/>
        <sz val="18"/>
        <rFont val="Times New Roman"/>
        <family val="1"/>
        <charset val="204"/>
      </rPr>
      <t xml:space="preserve">
Название контракта: </t>
    </r>
    <r>
      <rPr>
        <b/>
        <sz val="18"/>
        <rFont val="Times New Roman"/>
        <family val="1"/>
        <charset val="204"/>
      </rPr>
      <t xml:space="preserve">
Подрядчик: </t>
    </r>
  </si>
  <si>
    <t xml:space="preserve">Interim Payment Certificate No 
Сертификат промежуточного платежа № </t>
  </si>
  <si>
    <t xml:space="preserve">Date of Approval:
Дата утверждения: </t>
  </si>
  <si>
    <t>Contractor's Payment Application Reference / Исх. №. Заявки Подрядчика на оплату:</t>
  </si>
  <si>
    <t>Date Submitted / Дата представления:</t>
  </si>
  <si>
    <t>DD.MM.YYYY</t>
  </si>
  <si>
    <t xml:space="preserve">Period Covered by Contractor's Statement/ Охваченный период: </t>
  </si>
  <si>
    <t xml:space="preserve">Period Covered/Охваченный период                                                        </t>
  </si>
  <si>
    <t>DD.MM.YYYY - DD.MM.YYYY</t>
  </si>
  <si>
    <t>Description</t>
  </si>
  <si>
    <t>Описание</t>
  </si>
  <si>
    <t>Total Amount (USD) / Общая сумма  (доллар США)</t>
  </si>
  <si>
    <r>
      <rPr>
        <b/>
        <sz val="18"/>
        <rFont val="Times New Roman"/>
        <family val="1"/>
        <charset val="204"/>
      </rPr>
      <t>A.</t>
    </r>
    <r>
      <rPr>
        <sz val="18"/>
        <rFont val="Times New Roman"/>
        <family val="1"/>
        <charset val="204"/>
      </rPr>
      <t xml:space="preserve"> Value of Executed Works to Date</t>
    </r>
  </si>
  <si>
    <r>
      <rPr>
        <b/>
        <sz val="18"/>
        <rFont val="Times New Roman"/>
        <family val="1"/>
        <charset val="204"/>
      </rPr>
      <t>A.</t>
    </r>
    <r>
      <rPr>
        <sz val="18"/>
        <rFont val="Times New Roman"/>
        <family val="1"/>
        <charset val="204"/>
      </rPr>
      <t xml:space="preserve"> Оценённая стоимость выполненных работ</t>
    </r>
  </si>
  <si>
    <t xml:space="preserve">    Sub-Total (A)</t>
  </si>
  <si>
    <t xml:space="preserve">    Итого (A)</t>
  </si>
  <si>
    <t>B. Additions</t>
  </si>
  <si>
    <t xml:space="preserve">Дополнения </t>
  </si>
  <si>
    <t>Advance Payment</t>
  </si>
  <si>
    <t>Авансовый платеж</t>
  </si>
  <si>
    <t>Price Adjustment</t>
  </si>
  <si>
    <t>Корректировка цен</t>
  </si>
  <si>
    <t xml:space="preserve">    Sub-Total (B)</t>
  </si>
  <si>
    <t xml:space="preserve">    Итого (B)</t>
  </si>
  <si>
    <t>Retention = % as per "reference to a contract"</t>
  </si>
  <si>
    <t>удержание в % по "ссылка" пункту контракта</t>
  </si>
  <si>
    <t>Repayment of Advance % as per "reference to a contract"</t>
  </si>
  <si>
    <t>Погашение авансового платежа % согласно "ссылка к контрактуЭ</t>
  </si>
  <si>
    <t>Sub-Total (C)</t>
  </si>
  <si>
    <t>Итого (C)</t>
  </si>
  <si>
    <t xml:space="preserve">Sub-Total Amount Certified (A+B-С) </t>
  </si>
  <si>
    <t>Общая заверенная сумма (A+B-С)</t>
  </si>
  <si>
    <t>Deduct Total Amount Certified on Previous IPC</t>
  </si>
  <si>
    <t>Вычет суммы, утверждённый для предыдущего сертификата промежуточной  оплаты</t>
  </si>
  <si>
    <t xml:space="preserve">    TOTAL DUE ON THIS CERTIFICATE </t>
  </si>
  <si>
    <t xml:space="preserve">    ИТОГО к оплате по данному Сертификату</t>
  </si>
  <si>
    <t>Signed/ Подпись:</t>
  </si>
  <si>
    <t>On behalf of the Contractor/ От имени подрядчика</t>
  </si>
  <si>
    <t>On behalf of the Engineer/  От имени инженера</t>
  </si>
  <si>
    <t>On behalf of the Employer/ отимениработодатель</t>
  </si>
  <si>
    <t xml:space="preserve">Name of a project /  Название котракту             </t>
  </si>
  <si>
    <t>Contract identifier / 
Идентификатор контракта</t>
  </si>
  <si>
    <t>IPC #   / СПП № #</t>
  </si>
  <si>
    <t>Start of Works/ Начало работ :  DD.MM.YYYY</t>
  </si>
  <si>
    <t>Period Covered/Охваченный период</t>
  </si>
  <si>
    <t>Amount of works for payment according to contract</t>
  </si>
  <si>
    <t>Real cost of executed works</t>
  </si>
  <si>
    <t xml:space="preserve">Bill Nr </t>
  </si>
  <si>
    <t xml:space="preserve"> </t>
  </si>
  <si>
    <t xml:space="preserve">Contract Amount </t>
  </si>
  <si>
    <t xml:space="preserve">Bill Summary </t>
  </si>
  <si>
    <t>Remaining Works</t>
  </si>
  <si>
    <t>Total Amount Previous Certificate</t>
  </si>
  <si>
    <t xml:space="preserve">Amount This Certificate 
</t>
  </si>
  <si>
    <t xml:space="preserve">Total Amount To Date  </t>
  </si>
  <si>
    <t xml:space="preserve">Progress Till date </t>
  </si>
  <si>
    <t xml:space="preserve">Amount /  </t>
  </si>
  <si>
    <t xml:space="preserve"> %</t>
  </si>
  <si>
    <t>USD</t>
  </si>
  <si>
    <t>%</t>
  </si>
  <si>
    <t>Объем работ к оплате согласно контракту</t>
  </si>
  <si>
    <t>Реальная стоимость выполненных работ</t>
  </si>
  <si>
    <t>Счет №</t>
  </si>
  <si>
    <t xml:space="preserve">Стоимость контракта </t>
  </si>
  <si>
    <t xml:space="preserve">Сводная </t>
  </si>
  <si>
    <t>Остальные работы</t>
  </si>
  <si>
    <t xml:space="preserve">Общая Сумма Предыдущего Сертификата </t>
  </si>
  <si>
    <t xml:space="preserve">Сумма Данного Сертификата </t>
  </si>
  <si>
    <t xml:space="preserve"> Общая сумма на текущее число</t>
  </si>
  <si>
    <t>Прогресс на данное число</t>
  </si>
  <si>
    <t xml:space="preserve">Сумма </t>
  </si>
  <si>
    <t>Payments</t>
  </si>
  <si>
    <t>Начисление</t>
  </si>
  <si>
    <t>Part A - Measured Work</t>
  </si>
  <si>
    <t>Часть А. - Измеренные работы</t>
  </si>
  <si>
    <t>A section / А секция</t>
  </si>
  <si>
    <t>B section / B секция</t>
  </si>
  <si>
    <t xml:space="preserve">SCHEDULE 1 </t>
  </si>
  <si>
    <t>ТАБЛИЦА 1</t>
  </si>
  <si>
    <t xml:space="preserve">SCHEDULE 2 </t>
  </si>
  <si>
    <t>ТАБЛИЦА 2</t>
  </si>
  <si>
    <t>SCHEDULE 3</t>
  </si>
  <si>
    <t>ТАБЛИЦА 3.</t>
  </si>
  <si>
    <t>SCHEDULE 4.</t>
  </si>
  <si>
    <t xml:space="preserve"> ТАБЛИЦА 4. </t>
  </si>
  <si>
    <t>DAYWORKS</t>
  </si>
  <si>
    <t xml:space="preserve">ПОДЕННАЯ РАБОТА  </t>
  </si>
  <si>
    <t>Total Measured Work (А)</t>
  </si>
  <si>
    <t>Всего измеренные работы (А)</t>
  </si>
  <si>
    <t>Part B -CONTINGENCY FOR VARIED WORKS AND PRICE ADJUSTMENT (#% OF SUBTOTAL)</t>
  </si>
  <si>
    <t>Часть Б- НЕПРЕДВИДЕННЫЕ РАСХОДЫ ПО ИЗМЕНЕННЫМ РАБОТАМ И КОРРЕКТИРОВКЕ ЦЕН (#% ОТ ИТОГОВОЙ СУММЫ)</t>
  </si>
  <si>
    <t>Total Measured Work (А+B)</t>
  </si>
  <si>
    <t>Всего измеренные работы (А+Б)</t>
  </si>
  <si>
    <t>Part C - Advance Payment</t>
  </si>
  <si>
    <t>Часть В- Выплата аванса</t>
  </si>
  <si>
    <t>SCHEDULE 1</t>
  </si>
  <si>
    <t xml:space="preserve">SCHEDULE 3 </t>
  </si>
  <si>
    <t xml:space="preserve">SCHEDULE 4. </t>
  </si>
  <si>
    <t xml:space="preserve"> ТАБЛИЦА 4. УСТАНОВКА И ДРУГИЕ УСЛУГИ</t>
  </si>
  <si>
    <t>Total Advance Payment (C)</t>
  </si>
  <si>
    <t>Всего выплата аванса (В)</t>
  </si>
  <si>
    <t>Рart D - Repayment of retention</t>
  </si>
  <si>
    <t>Часть Г -Возврат удержания</t>
  </si>
  <si>
    <t>Repayment of retention for completion Sch 1</t>
  </si>
  <si>
    <t>Возврат удержания на завершение Табл. 1</t>
  </si>
  <si>
    <t>Manual entry</t>
  </si>
  <si>
    <t>Repayment of retention for completion Sch 4</t>
  </si>
  <si>
    <t>Возврат удержания на завершение Табл. 4</t>
  </si>
  <si>
    <t>Repayment of retention for Operational Acceptance Sсh 1</t>
  </si>
  <si>
    <t>Возврат удержания на прием в эксплуатацию Табл. 1</t>
  </si>
  <si>
    <t>Repayment of retention for Operational Acceptance Sсh 4</t>
  </si>
  <si>
    <t>Возврат удержание на прием в эксплуатацию Табл. 4</t>
  </si>
  <si>
    <t>Total repayment of retention (E)</t>
  </si>
  <si>
    <t>Всего возврат удержания (Д)</t>
  </si>
  <si>
    <t>Part F -  Deductions</t>
  </si>
  <si>
    <t>Часть Е - Вычеты</t>
  </si>
  <si>
    <t xml:space="preserve">1) Retention </t>
  </si>
  <si>
    <t>1)Удержане</t>
  </si>
  <si>
    <t>Retention for completion Sch 1 (5%)</t>
  </si>
  <si>
    <t>Удержание на завершение Табл. 1 (5%)</t>
  </si>
  <si>
    <t>Retention for completion Sch  4 (5%)</t>
  </si>
  <si>
    <t>Удержание на завершение Табл. 4 (5%)</t>
  </si>
  <si>
    <t>Retention for Operational Acceptance Sh 1 (5%)</t>
  </si>
  <si>
    <t>Удержание на прием в эксплуатацию Табл. 1 (5%)</t>
  </si>
  <si>
    <t>Retention for Operational Acceptance Sh 4 (5%)</t>
  </si>
  <si>
    <t>Удержание на прием в эксплуатацию Табл. 4 (5%)</t>
  </si>
  <si>
    <t xml:space="preserve">Total retention </t>
  </si>
  <si>
    <t xml:space="preserve">Всего удержание </t>
  </si>
  <si>
    <t>2) Repayment of Advance (20% of Sch 1, Sch 3, Sch 4))</t>
  </si>
  <si>
    <t>2) Возврат Аванса (20% для Табл. 1, Табл.3, для Табл.4)</t>
  </si>
  <si>
    <t xml:space="preserve"> Total Deductions (F )</t>
  </si>
  <si>
    <t>Всего вычеты (Е)</t>
  </si>
  <si>
    <t>Total payment for A section  (A+B+C+D+E)
Total payment for B section  (A+B+C+D+E-F)</t>
  </si>
  <si>
    <t>Всего начисление для A секции (А+Б+B+Г+Д)
Всего начисление для A секции (А+Б+B+Г+Д-Е)</t>
  </si>
  <si>
    <t xml:space="preserve">SCHEDULE 1 / ТАБЛИЦА 1 </t>
  </si>
  <si>
    <t>Item No/Статья №</t>
  </si>
  <si>
    <t>Description of Work</t>
  </si>
  <si>
    <t>Unit</t>
  </si>
  <si>
    <t>Quantity</t>
  </si>
  <si>
    <t>Unit Cost
(USD)</t>
  </si>
  <si>
    <t>Total Cost (USD)</t>
  </si>
  <si>
    <t>Cumulative Previous/Совокупный Предыдущий</t>
  </si>
  <si>
    <t>Current / Текущее</t>
  </si>
  <si>
    <t>Total / Итого</t>
  </si>
  <si>
    <t>Remaining / Оставшиеся</t>
  </si>
  <si>
    <t>Remaining Percentage/ Оставшийся процент</t>
  </si>
  <si>
    <t>Amount payable before leaving the factory (50%)
Сумма, подлежащая оплате перед отъездом с завода</t>
  </si>
  <si>
    <t xml:space="preserve">After delivery of equipment on site
(20%)
После доставки оборудования на объект   </t>
  </si>
  <si>
    <t>Описание работ</t>
  </si>
  <si>
    <t>Единица</t>
  </si>
  <si>
    <t>Количество</t>
  </si>
  <si>
    <t xml:space="preserve"> Цена за единицу(USD)</t>
  </si>
  <si>
    <t>Итого (USD)</t>
  </si>
  <si>
    <t>Total payment/ Всего платеж</t>
  </si>
  <si>
    <t>Quantity
Кол-ство</t>
  </si>
  <si>
    <t>Amount
USD</t>
  </si>
  <si>
    <t>Manual Entry</t>
  </si>
  <si>
    <t>D*E</t>
  </si>
  <si>
    <t>G*$E*$AB$8</t>
  </si>
  <si>
    <t>I*E*$AD$8</t>
  </si>
  <si>
    <t>J+H</t>
  </si>
  <si>
    <t>Q-G</t>
  </si>
  <si>
    <t>L*$E*$AB$8</t>
  </si>
  <si>
    <t>S-I</t>
  </si>
  <si>
    <t>N*$E*$AD$8</t>
  </si>
  <si>
    <t>O+M</t>
  </si>
  <si>
    <t>Q*$E*$AB$8</t>
  </si>
  <si>
    <t>S*$E*$AD$8</t>
  </si>
  <si>
    <t>T+R</t>
  </si>
  <si>
    <t>D-Q</t>
  </si>
  <si>
    <t>V*$E*$AB$8</t>
  </si>
  <si>
    <t>D-S</t>
  </si>
  <si>
    <t>X*$E*$AD$8</t>
  </si>
  <si>
    <t>Y+W</t>
  </si>
  <si>
    <t>Z/F</t>
  </si>
  <si>
    <t>1.S</t>
  </si>
  <si>
    <t xml:space="preserve">TOTAL / ВСЕГО                                                                                                                                                   </t>
  </si>
  <si>
    <t>Deductables
Удержание</t>
  </si>
  <si>
    <t>Repayment of Advance 20% of Sch 1</t>
  </si>
  <si>
    <t>Возврат Аванса 20% для Табл. 1</t>
  </si>
  <si>
    <t>SCHEDULE 3 / /  ТАБЛИЦА 3</t>
  </si>
  <si>
    <t>Item No / Статья №</t>
  </si>
  <si>
    <t>G*$E*$P$7</t>
  </si>
  <si>
    <t>K-G</t>
  </si>
  <si>
    <t>I*$E*$P$7</t>
  </si>
  <si>
    <t>K*$E*$P$7</t>
  </si>
  <si>
    <t>D-$K</t>
  </si>
  <si>
    <t>M*$E*$P$7</t>
  </si>
  <si>
    <t>N/(F*$P$7)</t>
  </si>
  <si>
    <t>3.S</t>
  </si>
  <si>
    <t>SCHEDULE 4 / /  ТАБЛИЦА 14</t>
  </si>
  <si>
    <t>G10*$E10*$P$7</t>
  </si>
  <si>
    <t>K10-G10</t>
  </si>
  <si>
    <t>I10*$E10*$P$7</t>
  </si>
  <si>
    <t>K10*$E10*$P$7</t>
  </si>
  <si>
    <t>D10-$K10</t>
  </si>
  <si>
    <t>M10*$E10*$P$7</t>
  </si>
  <si>
    <t>N10/(F10*$P$7)</t>
  </si>
  <si>
    <t>4.S</t>
  </si>
  <si>
    <t xml:space="preserve">DAYWORKS / ПОДЕННАЯ РАБОТА  </t>
  </si>
  <si>
    <t>I*$E</t>
  </si>
  <si>
    <t>K*$E</t>
  </si>
  <si>
    <t>D-K</t>
  </si>
  <si>
    <t>M*$E</t>
  </si>
  <si>
    <t>N/F</t>
  </si>
  <si>
    <t>DW.S</t>
  </si>
  <si>
    <t xml:space="preserve"> TOTAL / ВСЕГО                                                                                                                                                      </t>
  </si>
  <si>
    <t>SCHEDULE S1 / /  ТАБЛИЦА S1</t>
  </si>
  <si>
    <t>G*$E</t>
  </si>
  <si>
    <t>S1.S</t>
  </si>
  <si>
    <t>SCHEDULE S2 /  ТАБЛИЦА S2</t>
  </si>
  <si>
    <t>D9-$K9</t>
  </si>
  <si>
    <t>S2.S</t>
  </si>
  <si>
    <t xml:space="preserve">SCHEDULE 1 /  ТАБЛИЦА 1 </t>
  </si>
  <si>
    <t>Amount payable before leaving the factory (71,43%)
Сумма, подлежащая оплате перед отъездом с завода</t>
  </si>
  <si>
    <t xml:space="preserve">After delivery of equipment on site
(28,57%)
После доставки оборудования на объект   </t>
  </si>
  <si>
    <t>Amount payable before leaving the factory (71,43%%)
Сумма, подлежащая оплате перед отъездом с завода</t>
  </si>
  <si>
    <t>1A</t>
  </si>
  <si>
    <t>1A1</t>
  </si>
  <si>
    <t>Sch1. Supply of Plant CIP (A)'!D:D</t>
  </si>
  <si>
    <t>Sch1. Supply of Plant CIP (A)'!E:E</t>
  </si>
  <si>
    <t>Sch1. Supply of Plant CIP (A)'!G:G</t>
  </si>
  <si>
    <t>G*$E*$AB$</t>
  </si>
  <si>
    <t>Sch1. Supply of Plant CIP (A)'!I:I</t>
  </si>
  <si>
    <t>I*E*$AD$</t>
  </si>
  <si>
    <t>L*$E*$AB$</t>
  </si>
  <si>
    <t>N*$E*$AD$</t>
  </si>
  <si>
    <t>Sch1. Supply of Plant CIP (A)'!Q:Q</t>
  </si>
  <si>
    <t>Q*$E*$AB$</t>
  </si>
  <si>
    <t>Sch1. Supply of Plant CIP (A)'!S:S</t>
  </si>
  <si>
    <t>S*$E*$AD$</t>
  </si>
  <si>
    <t>D-$Q</t>
  </si>
  <si>
    <t>V*$E*$AB$</t>
  </si>
  <si>
    <t>X*$E*$AD$</t>
  </si>
  <si>
    <t>1.1</t>
  </si>
  <si>
    <t>1.2</t>
  </si>
  <si>
    <t>1.3</t>
  </si>
  <si>
    <t>1.4</t>
  </si>
  <si>
    <t>SCHEDULE 3  / ТАБЛИЦА 3</t>
  </si>
  <si>
    <t>Sch3. Design Services (A)'!D:D</t>
  </si>
  <si>
    <t>Sch3. Design Services (A)'!E:E</t>
  </si>
  <si>
    <t>Sch3. Design Services (A)'!G:G</t>
  </si>
  <si>
    <t>G*$E*$P$</t>
  </si>
  <si>
    <t>I*$E*$P$</t>
  </si>
  <si>
    <t>Sch3. Design Services (A)'!K:K</t>
  </si>
  <si>
    <t>K*$E*$P$</t>
  </si>
  <si>
    <t>M*$E*$P$</t>
  </si>
  <si>
    <t xml:space="preserve">SCHEDULE 4. / ТАБЛИЦА 4. </t>
  </si>
  <si>
    <t>Sch4. Installation (A)'!D:D</t>
  </si>
  <si>
    <t>Sch4. Installation (A)'!E:E</t>
  </si>
  <si>
    <t>Sch4. Installation (A)'!G:G</t>
  </si>
  <si>
    <t>Sch4. Installation (A)'!K:K</t>
  </si>
  <si>
    <t>Cumulative Previous / Совокупный Предыдущий</t>
  </si>
  <si>
    <t>Type of Entry</t>
  </si>
  <si>
    <t>Contractual Provision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</si>
</sst>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-* #,##0.0\ [$€-1]_-;\-* #,##0.0\ [$€-1]_-;_-* &quot;-&quot;??\ [$€-1]_-"/>
    <numFmt numFmtId="165" formatCode="_ * #,##0.00_ ;_ * \-#,##0.00_ ;_ * &quot;-&quot;??_ ;_ @_ "/>
    <numFmt numFmtId="166" formatCode="&quot;£&quot;#,##0;[Red]\-&quot;£&quot;#,##0"/>
    <numFmt numFmtId="167" formatCode="###\ ###\ ###\ ###.00"/>
    <numFmt numFmtId="168" formatCode="0.00_ "/>
    <numFmt numFmtId="169" formatCode="#,##0.0000_ ;\-#,##0.0000\ "/>
    <numFmt numFmtId="170" formatCode="#,##0.0000"/>
    <numFmt numFmtId="171" formatCode="_-* #,##0.00\ _₽_-;\-* #,##0.00\ _₽_-;_-* &quot;-&quot;??\ _₽_-;_-@_-"/>
    <numFmt numFmtId="172" formatCode="_-* #,##0.00\ _T_L_-;\-* #,##0.00\ _T_L_-;_-* &quot;-&quot;??\ _T_L_-;_-@_-"/>
    <numFmt numFmtId="173" formatCode="0.0000%"/>
    <numFmt numFmtId="174" formatCode="0.000000%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8"/>
      <name val="Times New Roman"/>
      <family val="1"/>
      <charset val="204"/>
    </font>
    <font>
      <sz val="18"/>
      <name val="Times New Roman"/>
      <family val="1"/>
      <charset val="204"/>
    </font>
    <font>
      <sz val="11"/>
      <color indexed="8"/>
      <name val="宋体"/>
      <charset val="134"/>
    </font>
    <font>
      <sz val="18"/>
      <color theme="1"/>
      <name val="Times New Roman"/>
      <family val="1"/>
      <charset val="204"/>
    </font>
    <font>
      <sz val="18"/>
      <color indexed="8"/>
      <name val="Times New Roman"/>
      <family val="1"/>
      <charset val="204"/>
    </font>
    <font>
      <sz val="18"/>
      <color indexed="8"/>
      <name val="Calibri"/>
      <family val="2"/>
      <charset val="204"/>
    </font>
    <font>
      <b/>
      <sz val="18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3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indexed="18"/>
      <name val="Times New Roman"/>
      <family val="1"/>
      <charset val="204"/>
    </font>
    <font>
      <sz val="11"/>
      <color indexed="18"/>
      <name val="Times New Roman"/>
      <family val="1"/>
      <charset val="204"/>
    </font>
    <font>
      <sz val="11"/>
      <color rgb="FF000099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1"/>
      <color rgb="FF000099"/>
      <name val="Times New Roman"/>
      <family val="1"/>
      <charset val="204"/>
    </font>
    <font>
      <sz val="14"/>
      <name val="Times New Roman"/>
      <family val="1"/>
      <charset val="204"/>
    </font>
    <font>
      <sz val="9"/>
      <name val="Times New Roman"/>
      <family val="1"/>
      <charset val="204"/>
    </font>
    <font>
      <b/>
      <sz val="20"/>
      <name val="Times New Roman"/>
      <family val="1"/>
      <charset val="204"/>
    </font>
    <font>
      <sz val="20"/>
      <name val="Times New Roman"/>
      <family val="1"/>
      <charset val="204"/>
    </font>
    <font>
      <b/>
      <sz val="12"/>
      <color indexed="60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5"/>
      <color theme="1"/>
      <name val="Times New Roman"/>
      <family val="1"/>
      <charset val="204"/>
    </font>
    <font>
      <b/>
      <sz val="15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20"/>
      <name val="Arial"/>
      <family val="2"/>
      <charset val="204"/>
    </font>
    <font>
      <sz val="14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rgb="FFFFF2CC"/>
      </patternFill>
    </fill>
    <fill>
      <patternFill patternType="solid">
        <fgColor theme="9" tint="0.7999816888943144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6">
    <xf numFmtId="0" fontId="0" fillId="0" borderId="0"/>
    <xf numFmtId="0" fontId="1" fillId="0" borderId="0">
      <alignment vertical="center"/>
    </xf>
    <xf numFmtId="164" fontId="4" fillId="0" borderId="0"/>
    <xf numFmtId="164" fontId="7" fillId="0" borderId="0">
      <alignment vertical="center"/>
    </xf>
    <xf numFmtId="0" fontId="1" fillId="0" borderId="0">
      <alignment vertical="center"/>
    </xf>
    <xf numFmtId="166" fontId="4" fillId="0" borderId="0" applyFont="0" applyFill="0" applyBorder="0" applyAlignment="0" applyProtection="0"/>
    <xf numFmtId="165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/>
    <xf numFmtId="9" fontId="12" fillId="0" borderId="0" applyFont="0" applyFill="0" applyBorder="0" applyAlignment="0" applyProtection="0"/>
    <xf numFmtId="171" fontId="29" fillId="0" borderId="0" applyFont="0" applyFill="0" applyBorder="0" applyAlignment="0" applyProtection="0"/>
    <xf numFmtId="0" fontId="4" fillId="0" borderId="0"/>
    <xf numFmtId="0" fontId="4" fillId="0" borderId="0"/>
    <xf numFmtId="172" fontId="4" fillId="0" borderId="0" applyFont="0" applyFill="0" applyBorder="0" applyAlignment="0" applyProtection="0"/>
    <xf numFmtId="0" fontId="4" fillId="0" borderId="0"/>
    <xf numFmtId="0" fontId="4" fillId="0" borderId="0"/>
  </cellStyleXfs>
  <cellXfs count="350">
    <xf numFmtId="0" fontId="0" fillId="0" borderId="0" xfId="0"/>
    <xf numFmtId="164" fontId="1" fillId="0" borderId="0" xfId="1" applyNumberFormat="1">
      <alignment vertical="center"/>
    </xf>
    <xf numFmtId="0" fontId="6" fillId="2" borderId="6" xfId="2" applyNumberFormat="1" applyFont="1" applyFill="1" applyBorder="1" applyAlignment="1">
      <alignment horizontal="left" vertical="center" wrapText="1"/>
    </xf>
    <xf numFmtId="14" fontId="6" fillId="2" borderId="6" xfId="2" applyNumberFormat="1" applyFont="1" applyFill="1" applyBorder="1" applyAlignment="1">
      <alignment horizontal="right" vertical="center"/>
    </xf>
    <xf numFmtId="0" fontId="6" fillId="2" borderId="2" xfId="2" applyNumberFormat="1" applyFont="1" applyFill="1" applyBorder="1" applyAlignment="1">
      <alignment horizontal="center" vertical="center" wrapText="1"/>
    </xf>
    <xf numFmtId="4" fontId="6" fillId="2" borderId="2" xfId="2" applyNumberFormat="1" applyFont="1" applyFill="1" applyBorder="1" applyAlignment="1">
      <alignment horizontal="right" vertical="center"/>
    </xf>
    <xf numFmtId="0" fontId="5" fillId="2" borderId="2" xfId="2" applyNumberFormat="1" applyFont="1" applyFill="1" applyBorder="1" applyAlignment="1">
      <alignment horizontal="center" vertical="center"/>
    </xf>
    <xf numFmtId="4" fontId="5" fillId="2" borderId="6" xfId="3" applyNumberFormat="1" applyFont="1" applyFill="1" applyBorder="1" applyAlignment="1">
      <alignment horizontal="center" vertical="center" wrapText="1"/>
    </xf>
    <xf numFmtId="0" fontId="5" fillId="2" borderId="19" xfId="2" applyNumberFormat="1" applyFont="1" applyFill="1" applyBorder="1" applyAlignment="1">
      <alignment horizontal="left" vertical="center"/>
    </xf>
    <xf numFmtId="4" fontId="6" fillId="2" borderId="19" xfId="2" applyNumberFormat="1" applyFont="1" applyFill="1" applyBorder="1" applyAlignment="1">
      <alignment horizontal="right" vertical="center" wrapText="1"/>
    </xf>
    <xf numFmtId="165" fontId="8" fillId="0" borderId="0" xfId="4" applyNumberFormat="1" applyFont="1" applyAlignment="1">
      <alignment horizontal="left" vertical="center"/>
    </xf>
    <xf numFmtId="0" fontId="5" fillId="2" borderId="2" xfId="2" applyNumberFormat="1" applyFont="1" applyFill="1" applyBorder="1" applyAlignment="1">
      <alignment horizontal="left" vertical="center"/>
    </xf>
    <xf numFmtId="4" fontId="5" fillId="2" borderId="2" xfId="2" applyNumberFormat="1" applyFont="1" applyFill="1" applyBorder="1" applyAlignment="1">
      <alignment horizontal="right" vertical="center" wrapText="1"/>
    </xf>
    <xf numFmtId="4" fontId="5" fillId="2" borderId="19" xfId="2" applyNumberFormat="1" applyFont="1" applyFill="1" applyBorder="1" applyAlignment="1">
      <alignment horizontal="right" vertical="center" wrapText="1"/>
    </xf>
    <xf numFmtId="0" fontId="6" fillId="2" borderId="22" xfId="2" applyNumberFormat="1" applyFont="1" applyFill="1" applyBorder="1" applyAlignment="1">
      <alignment horizontal="left" vertical="center"/>
    </xf>
    <xf numFmtId="4" fontId="6" fillId="2" borderId="22" xfId="2" applyNumberFormat="1" applyFont="1" applyFill="1" applyBorder="1" applyAlignment="1">
      <alignment horizontal="right" vertical="center" wrapText="1"/>
    </xf>
    <xf numFmtId="0" fontId="6" fillId="2" borderId="22" xfId="2" applyNumberFormat="1" applyFont="1" applyFill="1" applyBorder="1" applyAlignment="1">
      <alignment horizontal="left" vertical="center" wrapText="1"/>
    </xf>
    <xf numFmtId="167" fontId="10" fillId="2" borderId="22" xfId="5" applyNumberFormat="1" applyFont="1" applyFill="1" applyBorder="1" applyAlignment="1">
      <alignment horizontal="right" vertical="center" wrapText="1"/>
    </xf>
    <xf numFmtId="164" fontId="11" fillId="0" borderId="23" xfId="2" applyFont="1" applyBorder="1" applyAlignment="1">
      <alignment horizontal="left" vertical="center"/>
    </xf>
    <xf numFmtId="167" fontId="11" fillId="2" borderId="2" xfId="5" applyNumberFormat="1" applyFont="1" applyFill="1" applyBorder="1" applyAlignment="1">
      <alignment horizontal="right" vertical="center" wrapText="1"/>
    </xf>
    <xf numFmtId="0" fontId="6" fillId="2" borderId="19" xfId="2" applyNumberFormat="1" applyFont="1" applyFill="1" applyBorder="1" applyAlignment="1">
      <alignment horizontal="left" vertical="center"/>
    </xf>
    <xf numFmtId="167" fontId="11" fillId="2" borderId="6" xfId="5" applyNumberFormat="1" applyFont="1" applyFill="1" applyBorder="1" applyAlignment="1">
      <alignment horizontal="right" vertical="center" wrapText="1"/>
    </xf>
    <xf numFmtId="0" fontId="6" fillId="2" borderId="24" xfId="2" applyNumberFormat="1" applyFont="1" applyFill="1" applyBorder="1" applyAlignment="1">
      <alignment horizontal="left" vertical="center"/>
    </xf>
    <xf numFmtId="4" fontId="6" fillId="2" borderId="24" xfId="6" applyNumberFormat="1" applyFont="1" applyFill="1" applyBorder="1" applyAlignment="1">
      <alignment horizontal="right" vertical="center"/>
    </xf>
    <xf numFmtId="0" fontId="6" fillId="2" borderId="25" xfId="2" applyNumberFormat="1" applyFont="1" applyFill="1" applyBorder="1" applyAlignment="1">
      <alignment horizontal="left" vertical="center"/>
    </xf>
    <xf numFmtId="0" fontId="6" fillId="2" borderId="2" xfId="2" applyNumberFormat="1" applyFont="1" applyFill="1" applyBorder="1" applyAlignment="1">
      <alignment horizontal="left" vertical="center"/>
    </xf>
    <xf numFmtId="0" fontId="6" fillId="2" borderId="2" xfId="2" applyNumberFormat="1" applyFont="1" applyFill="1" applyBorder="1" applyAlignment="1">
      <alignment horizontal="left" vertical="center" wrapText="1"/>
    </xf>
    <xf numFmtId="165" fontId="1" fillId="0" borderId="0" xfId="4" applyNumberFormat="1">
      <alignment vertical="center"/>
    </xf>
    <xf numFmtId="165" fontId="13" fillId="0" borderId="0" xfId="4" applyNumberFormat="1" applyFont="1">
      <alignment vertical="center"/>
    </xf>
    <xf numFmtId="164" fontId="13" fillId="0" borderId="0" xfId="4" applyNumberFormat="1" applyFont="1" applyAlignment="1">
      <alignment horizontal="right" vertical="center"/>
    </xf>
    <xf numFmtId="4" fontId="13" fillId="0" borderId="0" xfId="4" applyNumberFormat="1" applyFont="1" applyAlignment="1">
      <alignment horizontal="right" vertical="center"/>
    </xf>
    <xf numFmtId="164" fontId="1" fillId="0" borderId="0" xfId="4" applyNumberFormat="1" applyAlignment="1">
      <alignment horizontal="right" vertical="center"/>
    </xf>
    <xf numFmtId="164" fontId="14" fillId="2" borderId="0" xfId="7" applyNumberFormat="1" applyFont="1" applyFill="1" applyAlignment="1">
      <alignment horizontal="center" vertical="center" wrapText="1"/>
    </xf>
    <xf numFmtId="164" fontId="15" fillId="2" borderId="0" xfId="7" applyNumberFormat="1" applyFont="1" applyFill="1" applyAlignment="1">
      <alignment horizontal="center" vertical="center" wrapText="1"/>
    </xf>
    <xf numFmtId="164" fontId="15" fillId="2" borderId="0" xfId="7" applyNumberFormat="1" applyFont="1" applyFill="1" applyAlignment="1">
      <alignment horizontal="right" vertical="center" wrapText="1"/>
    </xf>
    <xf numFmtId="164" fontId="15" fillId="2" borderId="0" xfId="7" applyNumberFormat="1" applyFont="1" applyFill="1" applyAlignment="1">
      <alignment vertical="center" wrapText="1"/>
    </xf>
    <xf numFmtId="164" fontId="16" fillId="2" borderId="0" xfId="7" applyNumberFormat="1" applyFont="1" applyFill="1">
      <alignment vertical="center"/>
    </xf>
    <xf numFmtId="164" fontId="17" fillId="2" borderId="0" xfId="7" applyNumberFormat="1" applyFont="1" applyFill="1" applyAlignment="1">
      <alignment horizontal="center" vertical="center" wrapText="1"/>
    </xf>
    <xf numFmtId="164" fontId="17" fillId="2" borderId="0" xfId="7" applyNumberFormat="1" applyFont="1" applyFill="1" applyAlignment="1">
      <alignment horizontal="right" vertical="center" wrapText="1"/>
    </xf>
    <xf numFmtId="164" fontId="17" fillId="2" borderId="0" xfId="7" applyNumberFormat="1" applyFont="1" applyFill="1" applyAlignment="1">
      <alignment vertical="center" wrapText="1"/>
    </xf>
    <xf numFmtId="168" fontId="18" fillId="2" borderId="0" xfId="7" applyNumberFormat="1" applyFont="1" applyFill="1" applyAlignment="1">
      <alignment horizontal="right" vertical="center" wrapText="1"/>
    </xf>
    <xf numFmtId="168" fontId="18" fillId="2" borderId="0" xfId="7" applyNumberFormat="1" applyFont="1" applyFill="1" applyAlignment="1">
      <alignment vertical="center" wrapText="1"/>
    </xf>
    <xf numFmtId="164" fontId="14" fillId="2" borderId="2" xfId="7" applyNumberFormat="1" applyFont="1" applyFill="1" applyBorder="1" applyAlignment="1">
      <alignment horizontal="center" vertical="center" wrapText="1"/>
    </xf>
    <xf numFmtId="168" fontId="17" fillId="2" borderId="0" xfId="7" applyNumberFormat="1" applyFont="1" applyFill="1" applyAlignment="1">
      <alignment horizontal="right" vertical="center" wrapText="1"/>
    </xf>
    <xf numFmtId="0" fontId="19" fillId="3" borderId="2" xfId="8" applyFont="1" applyFill="1" applyBorder="1" applyAlignment="1">
      <alignment horizontal="center" vertical="center" wrapText="1"/>
    </xf>
    <xf numFmtId="0" fontId="19" fillId="2" borderId="2" xfId="8" applyFont="1" applyFill="1" applyBorder="1" applyAlignment="1">
      <alignment horizontal="center" vertical="center" wrapText="1"/>
    </xf>
    <xf numFmtId="0" fontId="19" fillId="0" borderId="2" xfId="8" applyFont="1" applyBorder="1" applyAlignment="1">
      <alignment horizontal="center" vertical="center" wrapText="1"/>
    </xf>
    <xf numFmtId="0" fontId="19" fillId="0" borderId="2" xfId="8" applyFont="1" applyBorder="1" applyAlignment="1" applyProtection="1">
      <alignment horizontal="center" vertical="center" wrapText="1"/>
      <protection locked="0"/>
    </xf>
    <xf numFmtId="0" fontId="20" fillId="0" borderId="2" xfId="8" applyFont="1" applyBorder="1" applyAlignment="1">
      <alignment horizontal="center" vertical="center" wrapText="1"/>
    </xf>
    <xf numFmtId="164" fontId="21" fillId="2" borderId="2" xfId="4" applyNumberFormat="1" applyFont="1" applyFill="1" applyBorder="1" applyAlignment="1">
      <alignment horizontal="center" vertical="center"/>
    </xf>
    <xf numFmtId="0" fontId="22" fillId="4" borderId="2" xfId="8" applyFont="1" applyFill="1" applyBorder="1" applyAlignment="1">
      <alignment horizontal="center" vertical="center" wrapText="1"/>
    </xf>
    <xf numFmtId="0" fontId="22" fillId="4" borderId="2" xfId="8" applyFont="1" applyFill="1" applyBorder="1" applyAlignment="1">
      <alignment horizontal="left" vertical="center" wrapText="1"/>
    </xf>
    <xf numFmtId="0" fontId="22" fillId="2" borderId="2" xfId="8" applyFont="1" applyFill="1" applyBorder="1" applyAlignment="1">
      <alignment horizontal="center" vertical="center" wrapText="1"/>
    </xf>
    <xf numFmtId="164" fontId="21" fillId="3" borderId="2" xfId="4" applyNumberFormat="1" applyFont="1" applyFill="1" applyBorder="1">
      <alignment vertical="center"/>
    </xf>
    <xf numFmtId="164" fontId="21" fillId="3" borderId="2" xfId="4" applyNumberFormat="1" applyFont="1" applyFill="1" applyBorder="1" applyAlignment="1">
      <alignment horizontal="center" vertical="center"/>
    </xf>
    <xf numFmtId="0" fontId="14" fillId="4" borderId="2" xfId="8" applyFont="1" applyFill="1" applyBorder="1" applyAlignment="1">
      <alignment horizontal="center" vertical="center" wrapText="1"/>
    </xf>
    <xf numFmtId="0" fontId="23" fillId="4" borderId="2" xfId="8" applyFont="1" applyFill="1" applyBorder="1" applyAlignment="1">
      <alignment horizontal="left" vertical="center" wrapText="1"/>
    </xf>
    <xf numFmtId="0" fontId="22" fillId="2" borderId="2" xfId="8" quotePrefix="1" applyFont="1" applyFill="1" applyBorder="1" applyAlignment="1">
      <alignment horizontal="center" vertical="center" wrapText="1"/>
    </xf>
    <xf numFmtId="1" fontId="14" fillId="4" borderId="2" xfId="8" applyNumberFormat="1" applyFont="1" applyFill="1" applyBorder="1" applyAlignment="1">
      <alignment horizontal="center" vertical="center" wrapText="1"/>
    </xf>
    <xf numFmtId="49" fontId="24" fillId="4" borderId="2" xfId="8" applyNumberFormat="1" applyFont="1" applyFill="1" applyBorder="1" applyAlignment="1" applyProtection="1">
      <alignment horizontal="left" vertical="center" wrapText="1"/>
      <protection locked="0"/>
    </xf>
    <xf numFmtId="0" fontId="24" fillId="4" borderId="2" xfId="8" applyFont="1" applyFill="1" applyBorder="1" applyAlignment="1">
      <alignment horizontal="left" vertical="center" wrapText="1"/>
    </xf>
    <xf numFmtId="4" fontId="14" fillId="3" borderId="2" xfId="8" applyNumberFormat="1" applyFont="1" applyFill="1" applyBorder="1" applyAlignment="1">
      <alignment vertical="center" wrapText="1"/>
    </xf>
    <xf numFmtId="4" fontId="14" fillId="3" borderId="2" xfId="8" applyNumberFormat="1" applyFont="1" applyFill="1" applyBorder="1" applyAlignment="1">
      <alignment horizontal="right" vertical="center" wrapText="1"/>
    </xf>
    <xf numFmtId="10" fontId="21" fillId="3" borderId="2" xfId="9" applyNumberFormat="1" applyFont="1" applyFill="1" applyBorder="1" applyAlignment="1">
      <alignment horizontal="center" vertical="center"/>
    </xf>
    <xf numFmtId="164" fontId="21" fillId="0" borderId="0" xfId="4" applyNumberFormat="1" applyFont="1">
      <alignment vertical="center"/>
    </xf>
    <xf numFmtId="4" fontId="25" fillId="3" borderId="2" xfId="8" applyNumberFormat="1" applyFont="1" applyFill="1" applyBorder="1" applyAlignment="1">
      <alignment vertical="center" wrapText="1"/>
    </xf>
    <xf numFmtId="0" fontId="26" fillId="3" borderId="2" xfId="8" applyFont="1" applyFill="1" applyBorder="1" applyAlignment="1">
      <alignment vertical="center" wrapText="1"/>
    </xf>
    <xf numFmtId="10" fontId="21" fillId="3" borderId="2" xfId="4" applyNumberFormat="1" applyFont="1" applyFill="1" applyBorder="1" applyAlignment="1">
      <alignment horizontal="center" vertical="center"/>
    </xf>
    <xf numFmtId="4" fontId="14" fillId="2" borderId="2" xfId="8" applyNumberFormat="1" applyFont="1" applyFill="1" applyBorder="1" applyAlignment="1">
      <alignment horizontal="right" vertical="center" wrapText="1"/>
    </xf>
    <xf numFmtId="4" fontId="14" fillId="4" borderId="0" xfId="8" applyNumberFormat="1" applyFont="1" applyFill="1" applyAlignment="1">
      <alignment horizontal="right" vertical="center" wrapText="1"/>
    </xf>
    <xf numFmtId="1" fontId="22" fillId="4" borderId="2" xfId="8" applyNumberFormat="1" applyFont="1" applyFill="1" applyBorder="1" applyAlignment="1">
      <alignment horizontal="center" vertical="center" wrapText="1"/>
    </xf>
    <xf numFmtId="49" fontId="22" fillId="4" borderId="2" xfId="8" applyNumberFormat="1" applyFont="1" applyFill="1" applyBorder="1" applyAlignment="1" applyProtection="1">
      <alignment horizontal="left" vertical="center" wrapText="1"/>
      <protection locked="0"/>
    </xf>
    <xf numFmtId="4" fontId="22" fillId="2" borderId="2" xfId="8" applyNumberFormat="1" applyFont="1" applyFill="1" applyBorder="1" applyAlignment="1">
      <alignment horizontal="right" vertical="center" wrapText="1"/>
    </xf>
    <xf numFmtId="4" fontId="22" fillId="3" borderId="2" xfId="8" applyNumberFormat="1" applyFont="1" applyFill="1" applyBorder="1" applyAlignment="1">
      <alignment horizontal="right" vertical="center" wrapText="1"/>
    </xf>
    <xf numFmtId="10" fontId="27" fillId="3" borderId="2" xfId="9" applyNumberFormat="1" applyFont="1" applyFill="1" applyBorder="1" applyAlignment="1">
      <alignment horizontal="center" vertical="center"/>
    </xf>
    <xf numFmtId="4" fontId="22" fillId="3" borderId="2" xfId="8" applyNumberFormat="1" applyFont="1" applyFill="1" applyBorder="1" applyAlignment="1">
      <alignment vertical="center" wrapText="1"/>
    </xf>
    <xf numFmtId="169" fontId="21" fillId="0" borderId="0" xfId="4" applyNumberFormat="1" applyFont="1" applyAlignment="1">
      <alignment horizontal="right" vertical="center"/>
    </xf>
    <xf numFmtId="49" fontId="23" fillId="4" borderId="2" xfId="8" applyNumberFormat="1" applyFont="1" applyFill="1" applyBorder="1" applyAlignment="1" applyProtection="1">
      <alignment horizontal="left" vertical="center" wrapText="1"/>
      <protection locked="0"/>
    </xf>
    <xf numFmtId="3" fontId="14" fillId="2" borderId="2" xfId="8" applyNumberFormat="1" applyFont="1" applyFill="1" applyBorder="1" applyAlignment="1">
      <alignment horizontal="right" vertical="center" wrapText="1"/>
    </xf>
    <xf numFmtId="170" fontId="14" fillId="4" borderId="0" xfId="8" applyNumberFormat="1" applyFont="1" applyFill="1" applyAlignment="1">
      <alignment horizontal="right" vertical="center" wrapText="1"/>
    </xf>
    <xf numFmtId="4" fontId="14" fillId="4" borderId="0" xfId="8" applyNumberFormat="1" applyFont="1" applyFill="1" applyAlignment="1">
      <alignment vertical="center" wrapText="1"/>
    </xf>
    <xf numFmtId="49" fontId="22" fillId="4" borderId="2" xfId="8" applyNumberFormat="1" applyFont="1" applyFill="1" applyBorder="1" applyAlignment="1" applyProtection="1">
      <alignment vertical="center" wrapText="1"/>
      <protection locked="0"/>
    </xf>
    <xf numFmtId="10" fontId="22" fillId="3" borderId="2" xfId="8" applyNumberFormat="1" applyFont="1" applyFill="1" applyBorder="1" applyAlignment="1">
      <alignment horizontal="center" vertical="center" wrapText="1"/>
    </xf>
    <xf numFmtId="4" fontId="22" fillId="2" borderId="2" xfId="8" applyNumberFormat="1" applyFont="1" applyFill="1" applyBorder="1" applyAlignment="1">
      <alignment horizontal="center" vertical="center" wrapText="1"/>
    </xf>
    <xf numFmtId="0" fontId="28" fillId="3" borderId="2" xfId="8" applyFont="1" applyFill="1" applyBorder="1" applyAlignment="1">
      <alignment vertical="center" wrapText="1"/>
    </xf>
    <xf numFmtId="2" fontId="14" fillId="4" borderId="2" xfId="8" applyNumberFormat="1" applyFont="1" applyFill="1" applyBorder="1" applyAlignment="1">
      <alignment horizontal="left" vertical="center" wrapText="1"/>
    </xf>
    <xf numFmtId="0" fontId="14" fillId="4" borderId="2" xfId="8" applyFont="1" applyFill="1" applyBorder="1" applyAlignment="1">
      <alignment horizontal="left" vertical="center" wrapText="1"/>
    </xf>
    <xf numFmtId="2" fontId="22" fillId="4" borderId="2" xfId="8" applyNumberFormat="1" applyFont="1" applyFill="1" applyBorder="1" applyAlignment="1">
      <alignment horizontal="left" vertical="center" wrapText="1"/>
    </xf>
    <xf numFmtId="4" fontId="22" fillId="3" borderId="2" xfId="10" applyNumberFormat="1" applyFont="1" applyFill="1" applyBorder="1" applyAlignment="1" applyProtection="1">
      <alignment horizontal="right" vertical="center" wrapText="1"/>
    </xf>
    <xf numFmtId="0" fontId="14" fillId="2" borderId="2" xfId="8" applyFont="1" applyFill="1" applyBorder="1" applyAlignment="1">
      <alignment horizontal="left" vertical="center" wrapText="1"/>
    </xf>
    <xf numFmtId="0" fontId="14" fillId="5" borderId="2" xfId="8" applyFont="1" applyFill="1" applyBorder="1" applyAlignment="1">
      <alignment horizontal="center" vertical="center" wrapText="1"/>
    </xf>
    <xf numFmtId="0" fontId="22" fillId="5" borderId="2" xfId="8" applyFont="1" applyFill="1" applyBorder="1" applyAlignment="1">
      <alignment horizontal="left" vertical="center" wrapText="1"/>
    </xf>
    <xf numFmtId="4" fontId="22" fillId="5" borderId="2" xfId="8" applyNumberFormat="1" applyFont="1" applyFill="1" applyBorder="1" applyAlignment="1">
      <alignment horizontal="right" vertical="center" wrapText="1"/>
    </xf>
    <xf numFmtId="10" fontId="22" fillId="5" borderId="2" xfId="8" applyNumberFormat="1" applyFont="1" applyFill="1" applyBorder="1" applyAlignment="1">
      <alignment horizontal="center" vertical="center" wrapText="1"/>
    </xf>
    <xf numFmtId="10" fontId="22" fillId="5" borderId="2" xfId="9" applyNumberFormat="1" applyFont="1" applyFill="1" applyBorder="1" applyAlignment="1">
      <alignment horizontal="center" vertical="center" wrapText="1"/>
    </xf>
    <xf numFmtId="0" fontId="14" fillId="4" borderId="0" xfId="8" applyFont="1" applyFill="1" applyAlignment="1">
      <alignment horizontal="center" vertical="center"/>
    </xf>
    <xf numFmtId="0" fontId="14" fillId="4" borderId="0" xfId="8" applyFont="1" applyFill="1" applyAlignment="1">
      <alignment vertical="center"/>
    </xf>
    <xf numFmtId="0" fontId="22" fillId="4" borderId="0" xfId="8" applyFont="1" applyFill="1" applyAlignment="1">
      <alignment vertical="center"/>
    </xf>
    <xf numFmtId="0" fontId="22" fillId="2" borderId="0" xfId="8" applyFont="1" applyFill="1" applyAlignment="1">
      <alignment vertical="center"/>
    </xf>
    <xf numFmtId="0" fontId="14" fillId="4" borderId="0" xfId="8" applyFont="1" applyFill="1"/>
    <xf numFmtId="0" fontId="14" fillId="4" borderId="0" xfId="8" applyFont="1" applyFill="1" applyAlignment="1">
      <alignment horizontal="center"/>
    </xf>
    <xf numFmtId="4" fontId="14" fillId="0" borderId="0" xfId="8" applyNumberFormat="1" applyFont="1"/>
    <xf numFmtId="4" fontId="25" fillId="0" borderId="0" xfId="8" applyNumberFormat="1" applyFont="1" applyAlignment="1">
      <alignment vertical="center" wrapText="1"/>
    </xf>
    <xf numFmtId="0" fontId="26" fillId="0" borderId="0" xfId="8" applyFont="1" applyAlignment="1">
      <alignment vertical="center" wrapText="1"/>
    </xf>
    <xf numFmtId="0" fontId="28" fillId="0" borderId="0" xfId="8" applyFont="1" applyAlignment="1">
      <alignment vertical="center" wrapText="1"/>
    </xf>
    <xf numFmtId="4" fontId="30" fillId="0" borderId="0" xfId="8" applyNumberFormat="1" applyFont="1" applyAlignment="1">
      <alignment vertical="center" wrapText="1"/>
    </xf>
    <xf numFmtId="164" fontId="14" fillId="2" borderId="0" xfId="7" applyNumberFormat="1" applyFont="1" applyFill="1" applyAlignment="1">
      <alignment vertical="center" wrapText="1"/>
    </xf>
    <xf numFmtId="164" fontId="31" fillId="2" borderId="0" xfId="7" applyNumberFormat="1" applyFont="1" applyFill="1" applyAlignment="1">
      <alignment horizontal="center" vertical="center" wrapText="1"/>
    </xf>
    <xf numFmtId="0" fontId="32" fillId="0" borderId="0" xfId="11" applyFont="1" applyAlignment="1">
      <alignment vertical="center" wrapText="1"/>
    </xf>
    <xf numFmtId="168" fontId="17" fillId="2" borderId="0" xfId="7" applyNumberFormat="1" applyFont="1" applyFill="1" applyAlignment="1">
      <alignment horizontal="center" vertical="center" wrapText="1"/>
    </xf>
    <xf numFmtId="168" fontId="17" fillId="2" borderId="0" xfId="7" applyNumberFormat="1" applyFont="1" applyFill="1" applyAlignment="1">
      <alignment vertical="center" wrapText="1"/>
    </xf>
    <xf numFmtId="0" fontId="20" fillId="2" borderId="0" xfId="11" applyFont="1" applyFill="1"/>
    <xf numFmtId="0" fontId="15" fillId="2" borderId="2" xfId="12" applyFont="1" applyFill="1" applyBorder="1" applyAlignment="1">
      <alignment horizontal="center" vertical="center" wrapText="1"/>
    </xf>
    <xf numFmtId="4" fontId="15" fillId="2" borderId="2" xfId="12" applyNumberFormat="1" applyFont="1" applyFill="1" applyBorder="1" applyAlignment="1">
      <alignment horizontal="center" vertical="center" wrapText="1"/>
    </xf>
    <xf numFmtId="3" fontId="15" fillId="2" borderId="2" xfId="12" applyNumberFormat="1" applyFont="1" applyFill="1" applyBorder="1" applyAlignment="1">
      <alignment horizontal="center" vertical="center" wrapText="1"/>
    </xf>
    <xf numFmtId="168" fontId="15" fillId="2" borderId="2" xfId="2" applyNumberFormat="1" applyFont="1" applyFill="1" applyBorder="1" applyAlignment="1">
      <alignment horizontal="center" vertical="center" wrapText="1"/>
    </xf>
    <xf numFmtId="0" fontId="35" fillId="2" borderId="2" xfId="11" applyFont="1" applyFill="1" applyBorder="1" applyAlignment="1">
      <alignment horizontal="center" vertical="center" wrapText="1"/>
    </xf>
    <xf numFmtId="0" fontId="36" fillId="2" borderId="0" xfId="11" applyFont="1" applyFill="1"/>
    <xf numFmtId="0" fontId="35" fillId="2" borderId="2" xfId="11" applyFont="1" applyFill="1" applyBorder="1" applyAlignment="1">
      <alignment vertical="center" wrapText="1"/>
    </xf>
    <xf numFmtId="0" fontId="36" fillId="2" borderId="2" xfId="11" applyFont="1" applyFill="1" applyBorder="1" applyAlignment="1">
      <alignment vertical="center" wrapText="1"/>
    </xf>
    <xf numFmtId="0" fontId="36" fillId="2" borderId="2" xfId="11" applyFont="1" applyFill="1" applyBorder="1" applyAlignment="1">
      <alignment horizontal="center" vertical="center" wrapText="1"/>
    </xf>
    <xf numFmtId="0" fontId="38" fillId="2" borderId="2" xfId="11" applyFont="1" applyFill="1" applyBorder="1" applyAlignment="1">
      <alignment horizontal="left" vertical="center" wrapText="1"/>
    </xf>
    <xf numFmtId="0" fontId="37" fillId="2" borderId="2" xfId="11" applyFont="1" applyFill="1" applyBorder="1" applyAlignment="1">
      <alignment horizontal="left" vertical="center" wrapText="1"/>
    </xf>
    <xf numFmtId="0" fontId="36" fillId="2" borderId="0" xfId="11" applyFont="1" applyFill="1" applyAlignment="1">
      <alignment vertical="center" wrapText="1"/>
    </xf>
    <xf numFmtId="0" fontId="18" fillId="2" borderId="2" xfId="11" applyFont="1" applyFill="1" applyBorder="1" applyAlignment="1">
      <alignment horizontal="center" vertical="center" wrapText="1"/>
    </xf>
    <xf numFmtId="4" fontId="18" fillId="2" borderId="2" xfId="11" applyNumberFormat="1" applyFont="1" applyFill="1" applyBorder="1" applyAlignment="1">
      <alignment vertical="center" wrapText="1"/>
    </xf>
    <xf numFmtId="0" fontId="18" fillId="2" borderId="2" xfId="11" applyFont="1" applyFill="1" applyBorder="1" applyAlignment="1">
      <alignment vertical="center" wrapText="1"/>
    </xf>
    <xf numFmtId="9" fontId="18" fillId="2" borderId="2" xfId="9" applyFont="1" applyFill="1" applyBorder="1" applyAlignment="1">
      <alignment vertical="center" wrapText="1"/>
    </xf>
    <xf numFmtId="0" fontId="36" fillId="0" borderId="2" xfId="11" applyFont="1" applyBorder="1" applyAlignment="1">
      <alignment vertical="center" wrapText="1"/>
    </xf>
    <xf numFmtId="0" fontId="36" fillId="0" borderId="0" xfId="11" applyFont="1" applyAlignment="1">
      <alignment vertical="center" wrapText="1"/>
    </xf>
    <xf numFmtId="3" fontId="36" fillId="0" borderId="0" xfId="11" applyNumberFormat="1" applyFont="1" applyAlignment="1">
      <alignment vertical="center" wrapText="1"/>
    </xf>
    <xf numFmtId="4" fontId="36" fillId="2" borderId="0" xfId="11" applyNumberFormat="1" applyFont="1" applyFill="1" applyAlignment="1">
      <alignment vertical="center" wrapText="1"/>
    </xf>
    <xf numFmtId="164" fontId="21" fillId="0" borderId="0" xfId="4" applyNumberFormat="1" applyFont="1" applyAlignment="1">
      <alignment horizontal="center" vertical="center"/>
    </xf>
    <xf numFmtId="4" fontId="15" fillId="2" borderId="2" xfId="13" applyNumberFormat="1" applyFont="1" applyFill="1" applyBorder="1" applyAlignment="1">
      <alignment horizontal="center" vertical="center" wrapText="1"/>
    </xf>
    <xf numFmtId="3" fontId="15" fillId="2" borderId="2" xfId="13" applyNumberFormat="1" applyFont="1" applyFill="1" applyBorder="1" applyAlignment="1">
      <alignment horizontal="center" vertical="center" wrapText="1"/>
    </xf>
    <xf numFmtId="10" fontId="15" fillId="2" borderId="2" xfId="2" applyNumberFormat="1" applyFont="1" applyFill="1" applyBorder="1" applyAlignment="1">
      <alignment horizontal="center" vertical="center" wrapText="1"/>
    </xf>
    <xf numFmtId="9" fontId="40" fillId="2" borderId="0" xfId="14" applyNumberFormat="1" applyFont="1" applyFill="1" applyAlignment="1">
      <alignment horizontal="center" vertical="center" wrapText="1"/>
    </xf>
    <xf numFmtId="0" fontId="35" fillId="2" borderId="2" xfId="14" applyFont="1" applyFill="1" applyBorder="1" applyAlignment="1">
      <alignment horizontal="center" vertical="center" wrapText="1"/>
    </xf>
    <xf numFmtId="0" fontId="32" fillId="2" borderId="2" xfId="14" applyFont="1" applyFill="1" applyBorder="1" applyAlignment="1">
      <alignment horizontal="center" vertical="center" wrapText="1"/>
    </xf>
    <xf numFmtId="10" fontId="32" fillId="2" borderId="2" xfId="14" applyNumberFormat="1" applyFont="1" applyFill="1" applyBorder="1" applyAlignment="1">
      <alignment horizontal="center" vertical="center" wrapText="1"/>
    </xf>
    <xf numFmtId="9" fontId="40" fillId="2" borderId="0" xfId="14" applyNumberFormat="1" applyFont="1" applyFill="1" applyAlignment="1">
      <alignment vertical="center" wrapText="1"/>
    </xf>
    <xf numFmtId="0" fontId="35" fillId="2" borderId="2" xfId="14" applyFont="1" applyFill="1" applyBorder="1" applyAlignment="1">
      <alignment vertical="center" wrapText="1"/>
    </xf>
    <xf numFmtId="0" fontId="36" fillId="2" borderId="2" xfId="14" applyFont="1" applyFill="1" applyBorder="1" applyAlignment="1">
      <alignment vertical="center" wrapText="1"/>
    </xf>
    <xf numFmtId="0" fontId="36" fillId="2" borderId="2" xfId="14" applyFont="1" applyFill="1" applyBorder="1" applyAlignment="1">
      <alignment horizontal="center" vertical="center" wrapText="1"/>
    </xf>
    <xf numFmtId="0" fontId="36" fillId="2" borderId="2" xfId="14" applyFont="1" applyFill="1" applyBorder="1" applyAlignment="1">
      <alignment horizontal="left" vertical="center"/>
    </xf>
    <xf numFmtId="0" fontId="18" fillId="2" borderId="2" xfId="14" applyFont="1" applyFill="1" applyBorder="1" applyAlignment="1">
      <alignment horizontal="center" vertical="center" wrapText="1"/>
    </xf>
    <xf numFmtId="4" fontId="18" fillId="2" borderId="2" xfId="14" applyNumberFormat="1" applyFont="1" applyFill="1" applyBorder="1" applyAlignment="1">
      <alignment horizontal="right" vertical="center" wrapText="1"/>
    </xf>
    <xf numFmtId="4" fontId="18" fillId="2" borderId="2" xfId="14" applyNumberFormat="1" applyFont="1" applyFill="1" applyBorder="1" applyAlignment="1">
      <alignment vertical="center" wrapText="1"/>
    </xf>
    <xf numFmtId="10" fontId="18" fillId="2" borderId="2" xfId="9" applyNumberFormat="1" applyFont="1" applyFill="1" applyBorder="1" applyAlignment="1">
      <alignment horizontal="center" vertical="center" wrapText="1"/>
    </xf>
    <xf numFmtId="164" fontId="41" fillId="0" borderId="0" xfId="7" applyNumberFormat="1" applyFont="1" applyAlignment="1">
      <alignment vertical="center" wrapText="1"/>
    </xf>
    <xf numFmtId="164" fontId="15" fillId="0" borderId="0" xfId="7" applyNumberFormat="1" applyFont="1" applyAlignment="1">
      <alignment horizontal="center" vertical="center" wrapText="1"/>
    </xf>
    <xf numFmtId="164" fontId="15" fillId="0" borderId="0" xfId="7" applyNumberFormat="1" applyFont="1" applyAlignment="1">
      <alignment vertical="center" wrapText="1"/>
    </xf>
    <xf numFmtId="0" fontId="15" fillId="0" borderId="2" xfId="12" applyFont="1" applyBorder="1" applyAlignment="1">
      <alignment horizontal="center" vertical="center" wrapText="1"/>
    </xf>
    <xf numFmtId="4" fontId="15" fillId="0" borderId="2" xfId="12" applyNumberFormat="1" applyFont="1" applyBorder="1" applyAlignment="1">
      <alignment horizontal="center" vertical="center" wrapText="1"/>
    </xf>
    <xf numFmtId="3" fontId="15" fillId="0" borderId="2" xfId="12" applyNumberFormat="1" applyFont="1" applyBorder="1" applyAlignment="1">
      <alignment horizontal="center" vertical="center" wrapText="1"/>
    </xf>
    <xf numFmtId="10" fontId="15" fillId="0" borderId="2" xfId="2" applyNumberFormat="1" applyFont="1" applyBorder="1" applyAlignment="1">
      <alignment horizontal="center" vertical="center" wrapText="1"/>
    </xf>
    <xf numFmtId="4" fontId="15" fillId="0" borderId="2" xfId="13" applyNumberFormat="1" applyFont="1" applyFill="1" applyBorder="1" applyAlignment="1">
      <alignment horizontal="center" vertical="center" wrapText="1"/>
    </xf>
    <xf numFmtId="3" fontId="15" fillId="0" borderId="2" xfId="13" applyNumberFormat="1" applyFont="1" applyFill="1" applyBorder="1" applyAlignment="1">
      <alignment horizontal="center" vertical="center" wrapText="1"/>
    </xf>
    <xf numFmtId="168" fontId="15" fillId="0" borderId="2" xfId="2" applyNumberFormat="1" applyFont="1" applyBorder="1" applyAlignment="1">
      <alignment horizontal="center" vertical="center" wrapText="1"/>
    </xf>
    <xf numFmtId="9" fontId="40" fillId="2" borderId="17" xfId="14" applyNumberFormat="1" applyFont="1" applyFill="1" applyBorder="1" applyAlignment="1">
      <alignment horizontal="center" vertical="center" wrapText="1"/>
    </xf>
    <xf numFmtId="0" fontId="35" fillId="2" borderId="2" xfId="15" applyFont="1" applyFill="1" applyBorder="1" applyAlignment="1">
      <alignment horizontal="center" vertical="center" wrapText="1"/>
    </xf>
    <xf numFmtId="0" fontId="35" fillId="2" borderId="2" xfId="15" applyFont="1" applyFill="1" applyBorder="1" applyAlignment="1">
      <alignment vertical="center" wrapText="1"/>
    </xf>
    <xf numFmtId="10" fontId="35" fillId="2" borderId="2" xfId="15" applyNumberFormat="1" applyFont="1" applyFill="1" applyBorder="1" applyAlignment="1">
      <alignment vertical="center" wrapText="1"/>
    </xf>
    <xf numFmtId="0" fontId="36" fillId="2" borderId="2" xfId="15" applyFont="1" applyFill="1" applyBorder="1" applyAlignment="1">
      <alignment vertical="center" wrapText="1"/>
    </xf>
    <xf numFmtId="0" fontId="36" fillId="2" borderId="2" xfId="15" applyFont="1" applyFill="1" applyBorder="1" applyAlignment="1">
      <alignment horizontal="center" vertical="center" wrapText="1"/>
    </xf>
    <xf numFmtId="0" fontId="36" fillId="0" borderId="2" xfId="15" applyFont="1" applyBorder="1" applyAlignment="1">
      <alignment horizontal="center" vertical="center"/>
    </xf>
    <xf numFmtId="0" fontId="32" fillId="0" borderId="2" xfId="15" applyFont="1" applyBorder="1" applyAlignment="1">
      <alignment horizontal="center" vertical="center" wrapText="1"/>
    </xf>
    <xf numFmtId="0" fontId="32" fillId="0" borderId="2" xfId="15" applyFont="1" applyBorder="1" applyAlignment="1">
      <alignment vertical="center" wrapText="1"/>
    </xf>
    <xf numFmtId="10" fontId="32" fillId="0" borderId="2" xfId="15" applyNumberFormat="1" applyFont="1" applyBorder="1" applyAlignment="1">
      <alignment horizontal="center" vertical="center" wrapText="1"/>
    </xf>
    <xf numFmtId="0" fontId="36" fillId="0" borderId="2" xfId="15" applyFont="1" applyBorder="1" applyAlignment="1">
      <alignment vertical="center" wrapText="1"/>
    </xf>
    <xf numFmtId="0" fontId="36" fillId="0" borderId="2" xfId="15" applyFont="1" applyBorder="1" applyAlignment="1">
      <alignment horizontal="center" vertical="center" wrapText="1"/>
    </xf>
    <xf numFmtId="0" fontId="36" fillId="0" borderId="2" xfId="15" applyFont="1" applyBorder="1" applyAlignment="1">
      <alignment horizontal="left" vertical="center" wrapText="1"/>
    </xf>
    <xf numFmtId="0" fontId="18" fillId="2" borderId="2" xfId="15" applyFont="1" applyFill="1" applyBorder="1" applyAlignment="1">
      <alignment horizontal="center" vertical="center" wrapText="1"/>
    </xf>
    <xf numFmtId="4" fontId="35" fillId="2" borderId="2" xfId="15" applyNumberFormat="1" applyFont="1" applyFill="1" applyBorder="1" applyAlignment="1">
      <alignment horizontal="right" vertical="center" wrapText="1"/>
    </xf>
    <xf numFmtId="4" fontId="18" fillId="0" borderId="2" xfId="15" applyNumberFormat="1" applyFont="1" applyBorder="1" applyAlignment="1">
      <alignment vertical="center" wrapText="1"/>
    </xf>
    <xf numFmtId="10" fontId="18" fillId="0" borderId="2" xfId="9" applyNumberFormat="1" applyFont="1" applyFill="1" applyBorder="1" applyAlignment="1">
      <alignment horizontal="center" vertical="center" wrapText="1"/>
    </xf>
    <xf numFmtId="0" fontId="36" fillId="0" borderId="0" xfId="15" applyFont="1" applyAlignment="1">
      <alignment vertical="center" wrapText="1"/>
    </xf>
    <xf numFmtId="3" fontId="36" fillId="0" borderId="0" xfId="15" applyNumberFormat="1" applyFont="1" applyAlignment="1">
      <alignment horizontal="center" vertical="center" wrapText="1"/>
    </xf>
    <xf numFmtId="3" fontId="36" fillId="0" borderId="0" xfId="15" applyNumberFormat="1" applyFont="1" applyAlignment="1">
      <alignment vertical="center" wrapText="1"/>
    </xf>
    <xf numFmtId="164" fontId="41" fillId="2" borderId="0" xfId="7" applyNumberFormat="1" applyFont="1" applyFill="1" applyAlignment="1">
      <alignment vertical="center" wrapText="1"/>
    </xf>
    <xf numFmtId="0" fontId="32" fillId="2" borderId="2" xfId="15" applyFont="1" applyFill="1" applyBorder="1" applyAlignment="1">
      <alignment horizontal="center" vertical="center" wrapText="1"/>
    </xf>
    <xf numFmtId="0" fontId="36" fillId="2" borderId="0" xfId="15" applyFont="1" applyFill="1" applyAlignment="1">
      <alignment vertical="center" wrapText="1"/>
    </xf>
    <xf numFmtId="0" fontId="36" fillId="2" borderId="0" xfId="15" applyFont="1" applyFill="1" applyAlignment="1">
      <alignment horizontal="center" vertical="center" wrapText="1"/>
    </xf>
    <xf numFmtId="3" fontId="36" fillId="2" borderId="0" xfId="15" applyNumberFormat="1" applyFont="1" applyFill="1" applyAlignment="1">
      <alignment vertical="center" wrapText="1"/>
    </xf>
    <xf numFmtId="4" fontId="35" fillId="2" borderId="2" xfId="15" applyNumberFormat="1" applyFont="1" applyFill="1" applyBorder="1" applyAlignment="1">
      <alignment vertical="center" wrapText="1"/>
    </xf>
    <xf numFmtId="4" fontId="18" fillId="2" borderId="2" xfId="15" applyNumberFormat="1" applyFont="1" applyFill="1" applyBorder="1" applyAlignment="1">
      <alignment vertical="center" wrapText="1"/>
    </xf>
    <xf numFmtId="0" fontId="32" fillId="2" borderId="2" xfId="15" applyFont="1" applyFill="1" applyBorder="1" applyAlignment="1">
      <alignment vertical="center" wrapText="1"/>
    </xf>
    <xf numFmtId="10" fontId="36" fillId="0" borderId="2" xfId="9" applyNumberFormat="1" applyFont="1" applyFill="1" applyBorder="1" applyAlignment="1">
      <alignment horizontal="center" vertical="center" wrapText="1"/>
    </xf>
    <xf numFmtId="164" fontId="1" fillId="0" borderId="0" xfId="4" applyNumberFormat="1" applyAlignment="1">
      <alignment horizontal="center" vertical="center"/>
    </xf>
    <xf numFmtId="10" fontId="15" fillId="2" borderId="2" xfId="13" applyNumberFormat="1" applyFont="1" applyFill="1" applyBorder="1" applyAlignment="1">
      <alignment horizontal="center" vertical="center" wrapText="1"/>
    </xf>
    <xf numFmtId="164" fontId="12" fillId="0" borderId="2" xfId="7" applyNumberFormat="1" applyBorder="1" applyAlignment="1">
      <alignment horizontal="center" vertical="center"/>
    </xf>
    <xf numFmtId="164" fontId="12" fillId="2" borderId="0" xfId="7" applyNumberFormat="1" applyFill="1">
      <alignment vertical="center"/>
    </xf>
    <xf numFmtId="164" fontId="42" fillId="2" borderId="0" xfId="7" applyNumberFormat="1" applyFont="1" applyFill="1" applyAlignment="1">
      <alignment horizontal="center" vertical="center" wrapText="1"/>
    </xf>
    <xf numFmtId="0" fontId="4" fillId="2" borderId="0" xfId="11" applyFill="1"/>
    <xf numFmtId="0" fontId="35" fillId="2" borderId="2" xfId="11" quotePrefix="1" applyFont="1" applyFill="1" applyBorder="1" applyAlignment="1">
      <alignment vertical="center" wrapText="1"/>
    </xf>
    <xf numFmtId="4" fontId="35" fillId="2" borderId="2" xfId="11" applyNumberFormat="1" applyFont="1" applyFill="1" applyBorder="1" applyAlignment="1">
      <alignment horizontal="center" vertical="center" wrapText="1"/>
    </xf>
    <xf numFmtId="9" fontId="18" fillId="2" borderId="2" xfId="9" applyFont="1" applyFill="1" applyBorder="1" applyAlignment="1">
      <alignment horizontal="center" vertical="center" wrapText="1"/>
    </xf>
    <xf numFmtId="9" fontId="36" fillId="0" borderId="0" xfId="9" applyFont="1" applyFill="1" applyBorder="1" applyAlignment="1">
      <alignment horizontal="center" vertical="center" wrapText="1"/>
    </xf>
    <xf numFmtId="0" fontId="35" fillId="2" borderId="2" xfId="14" quotePrefix="1" applyFont="1" applyFill="1" applyBorder="1" applyAlignment="1">
      <alignment vertical="center" wrapText="1"/>
    </xf>
    <xf numFmtId="0" fontId="35" fillId="2" borderId="2" xfId="15" quotePrefix="1" applyFont="1" applyFill="1" applyBorder="1" applyAlignment="1">
      <alignment vertical="center" wrapText="1"/>
    </xf>
    <xf numFmtId="0" fontId="19" fillId="7" borderId="2" xfId="8" applyFont="1" applyFill="1" applyBorder="1" applyAlignment="1">
      <alignment horizontal="center" vertical="center" wrapText="1"/>
    </xf>
    <xf numFmtId="0" fontId="14" fillId="7" borderId="2" xfId="8" applyFont="1" applyFill="1" applyBorder="1" applyAlignment="1">
      <alignment horizontal="center" vertical="center" wrapText="1"/>
    </xf>
    <xf numFmtId="4" fontId="14" fillId="7" borderId="2" xfId="8" applyNumberFormat="1" applyFont="1" applyFill="1" applyBorder="1" applyAlignment="1">
      <alignment horizontal="right" vertical="center" wrapText="1"/>
    </xf>
    <xf numFmtId="10" fontId="14" fillId="7" borderId="2" xfId="9" applyNumberFormat="1" applyFont="1" applyFill="1" applyBorder="1" applyAlignment="1">
      <alignment horizontal="center" vertical="center" wrapText="1"/>
    </xf>
    <xf numFmtId="4" fontId="22" fillId="7" borderId="2" xfId="8" applyNumberFormat="1" applyFont="1" applyFill="1" applyBorder="1" applyAlignment="1">
      <alignment horizontal="right" vertical="center" wrapText="1"/>
    </xf>
    <xf numFmtId="10" fontId="22" fillId="7" borderId="2" xfId="9" applyNumberFormat="1" applyFont="1" applyFill="1" applyBorder="1" applyAlignment="1">
      <alignment horizontal="center" vertical="center" wrapText="1"/>
    </xf>
    <xf numFmtId="10" fontId="14" fillId="7" borderId="2" xfId="8" applyNumberFormat="1" applyFont="1" applyFill="1" applyBorder="1" applyAlignment="1">
      <alignment horizontal="center" vertical="center" wrapText="1"/>
    </xf>
    <xf numFmtId="10" fontId="22" fillId="7" borderId="2" xfId="8" applyNumberFormat="1" applyFont="1" applyFill="1" applyBorder="1" applyAlignment="1">
      <alignment horizontal="center" vertical="center" wrapText="1"/>
    </xf>
    <xf numFmtId="3" fontId="22" fillId="7" borderId="2" xfId="8" applyNumberFormat="1" applyFont="1" applyFill="1" applyBorder="1" applyAlignment="1">
      <alignment horizontal="right" vertical="center" wrapText="1"/>
    </xf>
    <xf numFmtId="4" fontId="22" fillId="7" borderId="2" xfId="8" applyNumberFormat="1" applyFont="1" applyFill="1" applyBorder="1" applyAlignment="1">
      <alignment horizontal="center" vertical="center" wrapText="1"/>
    </xf>
    <xf numFmtId="0" fontId="6" fillId="2" borderId="15" xfId="2" applyNumberFormat="1" applyFont="1" applyFill="1" applyBorder="1" applyAlignment="1">
      <alignment horizontal="left" vertical="center"/>
    </xf>
    <xf numFmtId="0" fontId="6" fillId="2" borderId="16" xfId="2" applyNumberFormat="1" applyFont="1" applyFill="1" applyBorder="1" applyAlignment="1">
      <alignment horizontal="left" vertical="center"/>
    </xf>
    <xf numFmtId="164" fontId="15" fillId="2" borderId="0" xfId="7" applyNumberFormat="1" applyFont="1" applyFill="1" applyAlignment="1">
      <alignment horizontal="center" vertical="center" wrapText="1"/>
    </xf>
    <xf numFmtId="164" fontId="17" fillId="2" borderId="0" xfId="7" applyNumberFormat="1" applyFont="1" applyFill="1" applyAlignment="1">
      <alignment horizontal="center" vertical="center" wrapText="1"/>
    </xf>
    <xf numFmtId="0" fontId="19" fillId="7" borderId="2" xfId="8" applyFont="1" applyFill="1" applyBorder="1" applyAlignment="1">
      <alignment horizontal="center" vertical="center" wrapText="1"/>
    </xf>
    <xf numFmtId="0" fontId="19" fillId="3" borderId="2" xfId="8" applyFont="1" applyFill="1" applyBorder="1" applyAlignment="1">
      <alignment horizontal="center" vertical="center" wrapText="1"/>
    </xf>
    <xf numFmtId="0" fontId="19" fillId="0" borderId="2" xfId="8" applyFont="1" applyBorder="1" applyAlignment="1">
      <alignment horizontal="center" vertical="center" wrapText="1"/>
    </xf>
    <xf numFmtId="0" fontId="19" fillId="0" borderId="2" xfId="8" applyFont="1" applyBorder="1" applyAlignment="1" applyProtection="1">
      <alignment horizontal="center" vertical="center" wrapText="1"/>
      <protection locked="0"/>
    </xf>
    <xf numFmtId="0" fontId="20" fillId="0" borderId="2" xfId="8" applyFont="1" applyBorder="1" applyAlignment="1">
      <alignment horizontal="center" vertical="center" wrapText="1"/>
    </xf>
    <xf numFmtId="0" fontId="19" fillId="2" borderId="2" xfId="8" applyFont="1" applyFill="1" applyBorder="1" applyAlignment="1">
      <alignment horizontal="center" vertical="center" wrapText="1"/>
    </xf>
    <xf numFmtId="4" fontId="14" fillId="4" borderId="0" xfId="8" applyNumberFormat="1" applyFont="1" applyFill="1" applyAlignment="1">
      <alignment horizontal="right" vertical="center" wrapText="1"/>
    </xf>
    <xf numFmtId="0" fontId="22" fillId="7" borderId="2" xfId="8" applyFont="1" applyFill="1" applyBorder="1" applyAlignment="1">
      <alignment horizontal="center" vertical="center" wrapText="1"/>
    </xf>
    <xf numFmtId="0" fontId="22" fillId="3" borderId="2" xfId="8" applyFont="1" applyFill="1" applyBorder="1" applyAlignment="1">
      <alignment horizontal="center" vertical="center" wrapText="1"/>
    </xf>
    <xf numFmtId="4" fontId="14" fillId="2" borderId="2" xfId="8" applyNumberFormat="1" applyFont="1" applyFill="1" applyBorder="1" applyAlignment="1">
      <alignment horizontal="right" vertical="center" wrapText="1"/>
    </xf>
    <xf numFmtId="10" fontId="14" fillId="7" borderId="2" xfId="9" applyNumberFormat="1" applyFont="1" applyFill="1" applyBorder="1" applyAlignment="1">
      <alignment horizontal="center" vertical="center" wrapText="1"/>
    </xf>
    <xf numFmtId="4" fontId="14" fillId="7" borderId="2" xfId="8" applyNumberFormat="1" applyFont="1" applyFill="1" applyBorder="1" applyAlignment="1">
      <alignment horizontal="right" vertical="center" wrapText="1"/>
    </xf>
    <xf numFmtId="4" fontId="14" fillId="3" borderId="2" xfId="8" applyNumberFormat="1" applyFont="1" applyFill="1" applyBorder="1" applyAlignment="1">
      <alignment horizontal="right" vertical="center" wrapText="1"/>
    </xf>
    <xf numFmtId="164" fontId="15" fillId="2" borderId="0" xfId="7" applyNumberFormat="1" applyFont="1" applyFill="1" applyAlignment="1">
      <alignment horizontal="left" vertical="center" wrapText="1"/>
    </xf>
    <xf numFmtId="168" fontId="17" fillId="2" borderId="0" xfId="7" applyNumberFormat="1" applyFont="1" applyFill="1" applyAlignment="1">
      <alignment horizontal="center" vertical="center" wrapText="1"/>
    </xf>
    <xf numFmtId="168" fontId="17" fillId="2" borderId="0" xfId="7" applyNumberFormat="1" applyFont="1" applyFill="1" applyAlignment="1">
      <alignment horizontal="left" vertical="center" wrapText="1"/>
    </xf>
    <xf numFmtId="0" fontId="18" fillId="2" borderId="0" xfId="11" applyFont="1" applyFill="1" applyAlignment="1">
      <alignment horizontal="center" vertical="center" wrapText="1"/>
    </xf>
    <xf numFmtId="49" fontId="15" fillId="2" borderId="2" xfId="12" applyNumberFormat="1" applyFont="1" applyFill="1" applyBorder="1" applyAlignment="1">
      <alignment horizontal="center" vertical="center" wrapText="1"/>
    </xf>
    <xf numFmtId="168" fontId="15" fillId="2" borderId="2" xfId="2" applyNumberFormat="1" applyFont="1" applyFill="1" applyBorder="1" applyAlignment="1">
      <alignment horizontal="center" vertical="center" wrapText="1"/>
    </xf>
    <xf numFmtId="173" fontId="34" fillId="2" borderId="2" xfId="9" applyNumberFormat="1" applyFont="1" applyFill="1" applyBorder="1" applyAlignment="1">
      <alignment horizontal="center" vertical="center"/>
    </xf>
    <xf numFmtId="174" fontId="34" fillId="2" borderId="2" xfId="9" applyNumberFormat="1" applyFont="1" applyFill="1" applyBorder="1" applyAlignment="1">
      <alignment horizontal="center" vertical="center"/>
    </xf>
    <xf numFmtId="0" fontId="35" fillId="2" borderId="2" xfId="11" applyFont="1" applyFill="1" applyBorder="1" applyAlignment="1">
      <alignment horizontal="left" vertical="center" wrapText="1"/>
    </xf>
    <xf numFmtId="0" fontId="35" fillId="2" borderId="2" xfId="11" applyFont="1" applyFill="1" applyBorder="1" applyAlignment="1">
      <alignment horizontal="center" vertical="center" wrapText="1"/>
    </xf>
    <xf numFmtId="0" fontId="37" fillId="2" borderId="2" xfId="11" applyFont="1" applyFill="1" applyBorder="1" applyAlignment="1">
      <alignment horizontal="center" vertical="center" wrapText="1"/>
    </xf>
    <xf numFmtId="3" fontId="36" fillId="2" borderId="2" xfId="11" applyNumberFormat="1" applyFont="1" applyFill="1" applyBorder="1" applyAlignment="1">
      <alignment horizontal="center" vertical="center" wrapText="1"/>
    </xf>
    <xf numFmtId="4" fontId="36" fillId="2" borderId="2" xfId="11" applyNumberFormat="1" applyFont="1" applyFill="1" applyBorder="1" applyAlignment="1">
      <alignment horizontal="right" vertical="center" wrapText="1"/>
    </xf>
    <xf numFmtId="4" fontId="36" fillId="2" borderId="2" xfId="11" applyNumberFormat="1" applyFont="1" applyFill="1" applyBorder="1" applyAlignment="1">
      <alignment horizontal="center" vertical="center" wrapText="1"/>
    </xf>
    <xf numFmtId="168" fontId="33" fillId="2" borderId="2" xfId="2" applyNumberFormat="1" applyFont="1" applyFill="1" applyBorder="1" applyAlignment="1">
      <alignment horizontal="center" vertical="center" wrapText="1"/>
    </xf>
    <xf numFmtId="4" fontId="15" fillId="2" borderId="2" xfId="12" applyNumberFormat="1" applyFont="1" applyFill="1" applyBorder="1" applyAlignment="1">
      <alignment horizontal="center" vertical="center" wrapText="1"/>
    </xf>
    <xf numFmtId="4" fontId="15" fillId="2" borderId="2" xfId="13" applyNumberFormat="1" applyFont="1" applyFill="1" applyBorder="1" applyAlignment="1">
      <alignment horizontal="center" vertical="center" wrapText="1"/>
    </xf>
    <xf numFmtId="3" fontId="15" fillId="2" borderId="2" xfId="13" applyNumberFormat="1" applyFont="1" applyFill="1" applyBorder="1" applyAlignment="1">
      <alignment horizontal="center" vertical="center" wrapText="1"/>
    </xf>
    <xf numFmtId="9" fontId="36" fillId="2" borderId="2" xfId="9" applyFont="1" applyFill="1" applyBorder="1" applyAlignment="1">
      <alignment horizontal="right" vertical="center" wrapText="1"/>
    </xf>
    <xf numFmtId="0" fontId="38" fillId="2" borderId="2" xfId="11" applyFont="1" applyFill="1" applyBorder="1" applyAlignment="1">
      <alignment horizontal="center" vertical="center" wrapText="1"/>
    </xf>
    <xf numFmtId="164" fontId="39" fillId="0" borderId="2" xfId="4" applyNumberFormat="1" applyFont="1" applyBorder="1" applyAlignment="1">
      <alignment horizontal="center" vertical="center" textRotation="90" wrapText="1"/>
    </xf>
    <xf numFmtId="164" fontId="39" fillId="0" borderId="2" xfId="4" applyNumberFormat="1" applyFont="1" applyBorder="1" applyAlignment="1">
      <alignment horizontal="center" vertical="center" textRotation="90"/>
    </xf>
    <xf numFmtId="164" fontId="21" fillId="0" borderId="2" xfId="4" applyNumberFormat="1" applyFont="1" applyBorder="1" applyAlignment="1">
      <alignment horizontal="center" vertical="center"/>
    </xf>
    <xf numFmtId="164" fontId="21" fillId="0" borderId="2" xfId="4" applyNumberFormat="1" applyFont="1" applyBorder="1" applyAlignment="1">
      <alignment horizontal="right" vertical="center"/>
    </xf>
    <xf numFmtId="168" fontId="17" fillId="2" borderId="1" xfId="7" applyNumberFormat="1" applyFont="1" applyFill="1" applyBorder="1" applyAlignment="1">
      <alignment horizontal="center" vertical="center" wrapText="1"/>
    </xf>
    <xf numFmtId="0" fontId="15" fillId="2" borderId="2" xfId="12" applyFont="1" applyFill="1" applyBorder="1" applyAlignment="1">
      <alignment horizontal="center" vertical="center" wrapText="1"/>
    </xf>
    <xf numFmtId="0" fontId="18" fillId="2" borderId="2" xfId="14" applyFont="1" applyFill="1" applyBorder="1" applyAlignment="1">
      <alignment horizontal="center" vertical="center" wrapText="1"/>
    </xf>
    <xf numFmtId="0" fontId="35" fillId="2" borderId="2" xfId="14" applyFont="1" applyFill="1" applyBorder="1" applyAlignment="1">
      <alignment horizontal="center" vertical="center" wrapText="1"/>
    </xf>
    <xf numFmtId="0" fontId="36" fillId="2" borderId="2" xfId="14" applyFont="1" applyFill="1" applyBorder="1" applyAlignment="1">
      <alignment horizontal="center" vertical="center" wrapText="1"/>
    </xf>
    <xf numFmtId="3" fontId="36" fillId="2" borderId="2" xfId="14" applyNumberFormat="1" applyFont="1" applyFill="1" applyBorder="1" applyAlignment="1">
      <alignment horizontal="center" vertical="center" wrapText="1"/>
    </xf>
    <xf numFmtId="4" fontId="36" fillId="2" borderId="2" xfId="14" applyNumberFormat="1" applyFont="1" applyFill="1" applyBorder="1" applyAlignment="1">
      <alignment horizontal="right" vertical="center" wrapText="1"/>
    </xf>
    <xf numFmtId="10" fontId="36" fillId="2" borderId="2" xfId="9" applyNumberFormat="1" applyFont="1" applyFill="1" applyBorder="1" applyAlignment="1">
      <alignment horizontal="center" vertical="center" wrapText="1"/>
    </xf>
    <xf numFmtId="0" fontId="15" fillId="0" borderId="2" xfId="12" applyFont="1" applyBorder="1" applyAlignment="1">
      <alignment horizontal="center" vertical="center" wrapText="1"/>
    </xf>
    <xf numFmtId="10" fontId="15" fillId="0" borderId="2" xfId="12" applyNumberFormat="1" applyFont="1" applyBorder="1" applyAlignment="1">
      <alignment horizontal="center" vertical="center" wrapText="1"/>
    </xf>
    <xf numFmtId="168" fontId="15" fillId="0" borderId="2" xfId="2" applyNumberFormat="1" applyFont="1" applyBorder="1" applyAlignment="1">
      <alignment horizontal="center" vertical="center" wrapText="1"/>
    </xf>
    <xf numFmtId="164" fontId="17" fillId="0" borderId="0" xfId="7" applyNumberFormat="1" applyFont="1" applyAlignment="1">
      <alignment horizontal="center" vertical="center" wrapText="1"/>
    </xf>
    <xf numFmtId="10" fontId="17" fillId="0" borderId="0" xfId="7" applyNumberFormat="1" applyFont="1" applyAlignment="1">
      <alignment horizontal="center" vertical="center" wrapText="1"/>
    </xf>
    <xf numFmtId="168" fontId="17" fillId="0" borderId="1" xfId="7" applyNumberFormat="1" applyFont="1" applyBorder="1" applyAlignment="1">
      <alignment horizontal="center" vertical="center" wrapText="1"/>
    </xf>
    <xf numFmtId="10" fontId="17" fillId="0" borderId="1" xfId="7" applyNumberFormat="1" applyFont="1" applyBorder="1" applyAlignment="1">
      <alignment horizontal="center" vertical="center" wrapText="1"/>
    </xf>
    <xf numFmtId="0" fontId="35" fillId="2" borderId="2" xfId="15" applyFont="1" applyFill="1" applyBorder="1" applyAlignment="1">
      <alignment horizontal="left" vertical="center" wrapText="1"/>
    </xf>
    <xf numFmtId="0" fontId="35" fillId="2" borderId="2" xfId="15" applyFont="1" applyFill="1" applyBorder="1" applyAlignment="1">
      <alignment horizontal="center" vertical="center" wrapText="1"/>
    </xf>
    <xf numFmtId="10" fontId="35" fillId="2" borderId="2" xfId="15" applyNumberFormat="1" applyFont="1" applyFill="1" applyBorder="1" applyAlignment="1">
      <alignment horizontal="center" vertical="center" wrapText="1"/>
    </xf>
    <xf numFmtId="0" fontId="36" fillId="0" borderId="2" xfId="15" applyFont="1" applyBorder="1" applyAlignment="1">
      <alignment horizontal="center" vertical="center" wrapText="1"/>
    </xf>
    <xf numFmtId="3" fontId="36" fillId="0" borderId="2" xfId="15" applyNumberFormat="1" applyFont="1" applyBorder="1" applyAlignment="1">
      <alignment horizontal="center" vertical="center" wrapText="1"/>
    </xf>
    <xf numFmtId="4" fontId="36" fillId="0" borderId="2" xfId="15" applyNumberFormat="1" applyFont="1" applyBorder="1" applyAlignment="1">
      <alignment horizontal="right" vertical="center" wrapText="1"/>
    </xf>
    <xf numFmtId="4" fontId="36" fillId="0" borderId="2" xfId="11" applyNumberFormat="1" applyFont="1" applyBorder="1" applyAlignment="1">
      <alignment horizontal="center" vertical="center" wrapText="1"/>
    </xf>
    <xf numFmtId="4" fontId="36" fillId="0" borderId="2" xfId="11" applyNumberFormat="1" applyFont="1" applyBorder="1" applyAlignment="1">
      <alignment horizontal="right" vertical="center" wrapText="1"/>
    </xf>
    <xf numFmtId="10" fontId="36" fillId="0" borderId="2" xfId="9" applyNumberFormat="1" applyFont="1" applyFill="1" applyBorder="1" applyAlignment="1">
      <alignment horizontal="center" vertical="center" wrapText="1"/>
    </xf>
    <xf numFmtId="0" fontId="36" fillId="2" borderId="2" xfId="15" applyFont="1" applyFill="1" applyBorder="1" applyAlignment="1">
      <alignment horizontal="center" vertical="center" wrapText="1"/>
    </xf>
    <xf numFmtId="3" fontId="36" fillId="2" borderId="2" xfId="15" applyNumberFormat="1" applyFont="1" applyFill="1" applyBorder="1" applyAlignment="1">
      <alignment horizontal="center" vertical="center" wrapText="1"/>
    </xf>
    <xf numFmtId="4" fontId="36" fillId="6" borderId="2" xfId="15" applyNumberFormat="1" applyFont="1" applyFill="1" applyBorder="1" applyAlignment="1">
      <alignment horizontal="right" vertical="center" wrapText="1"/>
    </xf>
    <xf numFmtId="4" fontId="36" fillId="2" borderId="2" xfId="15" applyNumberFormat="1" applyFont="1" applyFill="1" applyBorder="1" applyAlignment="1">
      <alignment horizontal="right" vertical="center" wrapText="1"/>
    </xf>
    <xf numFmtId="4" fontId="35" fillId="2" borderId="2" xfId="15" applyNumberFormat="1" applyFont="1" applyFill="1" applyBorder="1" applyAlignment="1">
      <alignment horizontal="center" vertical="center" wrapText="1"/>
    </xf>
    <xf numFmtId="49" fontId="15" fillId="2" borderId="2" xfId="12" applyNumberFormat="1" applyFont="1" applyFill="1" applyBorder="1" applyAlignment="1">
      <alignment vertical="center" wrapText="1"/>
    </xf>
    <xf numFmtId="173" fontId="43" fillId="2" borderId="2" xfId="9" applyNumberFormat="1" applyFont="1" applyFill="1" applyBorder="1" applyAlignment="1">
      <alignment horizontal="center" vertical="center"/>
    </xf>
    <xf numFmtId="174" fontId="43" fillId="2" borderId="2" xfId="9" applyNumberFormat="1" applyFont="1" applyFill="1" applyBorder="1" applyAlignment="1">
      <alignment horizontal="center" vertical="center"/>
    </xf>
    <xf numFmtId="9" fontId="36" fillId="2" borderId="2" xfId="9" applyFont="1" applyFill="1" applyBorder="1" applyAlignment="1">
      <alignment horizontal="center" vertical="center" wrapText="1"/>
    </xf>
    <xf numFmtId="0" fontId="5" fillId="2" borderId="3" xfId="2" applyNumberFormat="1" applyFont="1" applyFill="1" applyBorder="1" applyAlignment="1">
      <alignment horizontal="centerContinuous" vertical="center" wrapText="1"/>
    </xf>
    <xf numFmtId="0" fontId="5" fillId="2" borderId="5" xfId="2" applyNumberFormat="1" applyFont="1" applyFill="1" applyBorder="1" applyAlignment="1">
      <alignment horizontal="centerContinuous" vertical="center" wrapText="1"/>
    </xf>
    <xf numFmtId="0" fontId="5" fillId="2" borderId="4" xfId="2" applyNumberFormat="1" applyFont="1" applyFill="1" applyBorder="1" applyAlignment="1">
      <alignment horizontal="centerContinuous" vertical="center" wrapText="1"/>
    </xf>
    <xf numFmtId="0" fontId="5" fillId="0" borderId="2" xfId="2" applyNumberFormat="1" applyFont="1" applyBorder="1" applyAlignment="1">
      <alignment horizontal="centerContinuous" vertical="center" wrapText="1"/>
    </xf>
    <xf numFmtId="0" fontId="5" fillId="2" borderId="2" xfId="2" applyNumberFormat="1" applyFont="1" applyFill="1" applyBorder="1" applyAlignment="1">
      <alignment horizontal="centerContinuous" vertical="center" wrapText="1"/>
    </xf>
    <xf numFmtId="164" fontId="2" fillId="0" borderId="1" xfId="1" applyNumberFormat="1" applyFont="1" applyBorder="1" applyAlignment="1">
      <alignment horizontal="centerContinuous" vertical="center" wrapText="1"/>
    </xf>
    <xf numFmtId="164" fontId="2" fillId="0" borderId="1" xfId="1" applyNumberFormat="1" applyFont="1" applyBorder="1" applyAlignment="1">
      <alignment horizontal="centerContinuous" vertical="center"/>
    </xf>
    <xf numFmtId="0" fontId="6" fillId="2" borderId="2" xfId="2" applyNumberFormat="1" applyFont="1" applyFill="1" applyBorder="1" applyAlignment="1">
      <alignment horizontal="centerContinuous" vertical="center" wrapText="1"/>
    </xf>
    <xf numFmtId="0" fontId="6" fillId="2" borderId="7" xfId="2" applyNumberFormat="1" applyFont="1" applyFill="1" applyBorder="1" applyAlignment="1">
      <alignment horizontal="centerContinuous" vertical="center" wrapText="1"/>
    </xf>
    <xf numFmtId="0" fontId="6" fillId="2" borderId="8" xfId="2" applyNumberFormat="1" applyFont="1" applyFill="1" applyBorder="1" applyAlignment="1">
      <alignment horizontal="centerContinuous" vertical="center" wrapText="1"/>
    </xf>
    <xf numFmtId="0" fontId="6" fillId="0" borderId="9" xfId="2" applyNumberFormat="1" applyFont="1" applyBorder="1" applyAlignment="1">
      <alignment horizontal="centerContinuous" vertical="center"/>
    </xf>
    <xf numFmtId="0" fontId="6" fillId="0" borderId="10" xfId="2" applyNumberFormat="1" applyFont="1" applyBorder="1" applyAlignment="1">
      <alignment horizontal="centerContinuous" vertical="center"/>
    </xf>
    <xf numFmtId="0" fontId="6" fillId="2" borderId="11" xfId="2" applyNumberFormat="1" applyFont="1" applyFill="1" applyBorder="1" applyAlignment="1">
      <alignment horizontal="centerContinuous" vertical="center" wrapText="1"/>
    </xf>
    <xf numFmtId="0" fontId="6" fillId="2" borderId="12" xfId="2" applyNumberFormat="1" applyFont="1" applyFill="1" applyBorder="1" applyAlignment="1">
      <alignment horizontal="centerContinuous" vertical="center" wrapText="1"/>
    </xf>
    <xf numFmtId="14" fontId="6" fillId="0" borderId="13" xfId="2" applyNumberFormat="1" applyFont="1" applyBorder="1" applyAlignment="1">
      <alignment horizontal="centerContinuous" vertical="center"/>
    </xf>
    <xf numFmtId="0" fontId="6" fillId="0" borderId="14" xfId="2" applyNumberFormat="1" applyFont="1" applyBorder="1" applyAlignment="1">
      <alignment horizontal="centerContinuous" vertical="center"/>
    </xf>
    <xf numFmtId="0" fontId="5" fillId="2" borderId="17" xfId="2" applyNumberFormat="1" applyFont="1" applyFill="1" applyBorder="1" applyAlignment="1">
      <alignment horizontal="centerContinuous" vertical="center"/>
    </xf>
    <xf numFmtId="0" fontId="5" fillId="2" borderId="18" xfId="2" applyNumberFormat="1" applyFont="1" applyFill="1" applyBorder="1" applyAlignment="1">
      <alignment horizontal="centerContinuous" vertical="center"/>
    </xf>
    <xf numFmtId="0" fontId="5" fillId="2" borderId="19" xfId="2" applyNumberFormat="1" applyFont="1" applyFill="1" applyBorder="1" applyAlignment="1">
      <alignment vertical="center"/>
    </xf>
    <xf numFmtId="0" fontId="6" fillId="2" borderId="19" xfId="2" applyNumberFormat="1" applyFont="1" applyFill="1" applyBorder="1" applyAlignment="1">
      <alignment vertical="center"/>
    </xf>
    <xf numFmtId="0" fontId="5" fillId="2" borderId="20" xfId="2" applyNumberFormat="1" applyFont="1" applyFill="1" applyBorder="1" applyAlignment="1">
      <alignment vertical="center"/>
    </xf>
    <xf numFmtId="0" fontId="5" fillId="2" borderId="21" xfId="2" applyNumberFormat="1" applyFont="1" applyFill="1" applyBorder="1" applyAlignment="1">
      <alignment vertical="center"/>
    </xf>
    <xf numFmtId="0" fontId="6" fillId="2" borderId="22" xfId="2" applyNumberFormat="1" applyFont="1" applyFill="1" applyBorder="1" applyAlignment="1">
      <alignment vertical="center"/>
    </xf>
    <xf numFmtId="0" fontId="6" fillId="2" borderId="22" xfId="2" applyNumberFormat="1" applyFont="1" applyFill="1" applyBorder="1" applyAlignment="1">
      <alignment vertical="center" wrapText="1"/>
    </xf>
    <xf numFmtId="0" fontId="5" fillId="2" borderId="3" xfId="2" applyNumberFormat="1" applyFont="1" applyFill="1" applyBorder="1" applyAlignment="1">
      <alignment vertical="center"/>
    </xf>
    <xf numFmtId="0" fontId="5" fillId="2" borderId="5" xfId="2" applyNumberFormat="1" applyFont="1" applyFill="1" applyBorder="1" applyAlignment="1">
      <alignment vertical="center"/>
    </xf>
    <xf numFmtId="164" fontId="9" fillId="0" borderId="7" xfId="2" applyFont="1" applyBorder="1" applyAlignment="1">
      <alignment vertical="center"/>
    </xf>
    <xf numFmtId="164" fontId="9" fillId="0" borderId="8" xfId="2" applyFont="1" applyBorder="1" applyAlignment="1">
      <alignment vertical="center"/>
    </xf>
    <xf numFmtId="164" fontId="9" fillId="0" borderId="11" xfId="2" applyFont="1" applyBorder="1" applyAlignment="1">
      <alignment vertical="center"/>
    </xf>
    <xf numFmtId="164" fontId="9" fillId="0" borderId="12" xfId="2" applyFont="1" applyBorder="1" applyAlignment="1">
      <alignment vertical="center"/>
    </xf>
    <xf numFmtId="164" fontId="11" fillId="0" borderId="20" xfId="2" applyFont="1" applyBorder="1" applyAlignment="1">
      <alignment vertical="center"/>
    </xf>
    <xf numFmtId="164" fontId="11" fillId="0" borderId="21" xfId="2" applyFont="1" applyBorder="1" applyAlignment="1">
      <alignment vertical="center"/>
    </xf>
    <xf numFmtId="0" fontId="6" fillId="2" borderId="24" xfId="2" applyNumberFormat="1" applyFont="1" applyFill="1" applyBorder="1" applyAlignment="1">
      <alignment vertical="center"/>
    </xf>
    <xf numFmtId="0" fontId="5" fillId="2" borderId="2" xfId="2" applyNumberFormat="1" applyFont="1" applyFill="1" applyBorder="1" applyAlignment="1">
      <alignment vertical="center"/>
    </xf>
    <xf numFmtId="0" fontId="6" fillId="2" borderId="20" xfId="2" applyNumberFormat="1" applyFont="1" applyFill="1" applyBorder="1" applyAlignment="1">
      <alignment vertical="center"/>
    </xf>
    <xf numFmtId="0" fontId="6" fillId="2" borderId="21" xfId="2" applyNumberFormat="1" applyFont="1" applyFill="1" applyBorder="1" applyAlignment="1">
      <alignment vertical="center"/>
    </xf>
    <xf numFmtId="0" fontId="6" fillId="2" borderId="2" xfId="2" applyNumberFormat="1" applyFont="1" applyFill="1" applyBorder="1" applyAlignment="1">
      <alignment vertical="center"/>
    </xf>
    <xf numFmtId="164" fontId="15" fillId="2" borderId="0" xfId="7" applyNumberFormat="1" applyFont="1" applyFill="1" applyAlignment="1">
      <alignment vertical="center"/>
    </xf>
    <xf numFmtId="164" fontId="15" fillId="2" borderId="0" xfId="7" applyNumberFormat="1" applyFont="1" applyFill="1" applyAlignment="1">
      <alignment horizontal="centerContinuous" vertical="center"/>
    </xf>
    <xf numFmtId="164" fontId="15" fillId="2" borderId="0" xfId="7" applyNumberFormat="1" applyFont="1" applyFill="1" applyAlignment="1">
      <alignment horizontal="centerContinuous" vertical="center" wrapText="1"/>
    </xf>
    <xf numFmtId="164" fontId="17" fillId="2" borderId="0" xfId="7" applyNumberFormat="1" applyFont="1" applyFill="1" applyAlignment="1">
      <alignment horizontal="centerContinuous" vertical="center"/>
    </xf>
    <xf numFmtId="164" fontId="18" fillId="2" borderId="0" xfId="7" applyNumberFormat="1" applyFont="1" applyFill="1" applyAlignment="1">
      <alignment vertical="center"/>
    </xf>
    <xf numFmtId="164" fontId="15" fillId="2" borderId="1" xfId="7" applyNumberFormat="1" applyFont="1" applyFill="1" applyBorder="1" applyAlignment="1">
      <alignment vertical="center"/>
    </xf>
    <xf numFmtId="164" fontId="18" fillId="2" borderId="1" xfId="7" applyNumberFormat="1" applyFont="1" applyFill="1" applyBorder="1" applyAlignment="1">
      <alignment vertical="center"/>
    </xf>
    <xf numFmtId="0" fontId="19" fillId="7" borderId="2" xfId="8" applyFont="1" applyFill="1" applyBorder="1" applyAlignment="1">
      <alignment horizontal="centerContinuous" vertical="center"/>
    </xf>
    <xf numFmtId="0" fontId="19" fillId="3" borderId="2" xfId="8" applyFont="1" applyFill="1" applyBorder="1" applyAlignment="1">
      <alignment horizontal="centerContinuous" vertical="center"/>
    </xf>
    <xf numFmtId="164" fontId="17" fillId="2" borderId="0" xfId="7" applyNumberFormat="1" applyFont="1" applyFill="1" applyAlignment="1">
      <alignment horizontal="centerContinuous" vertical="center" wrapText="1"/>
    </xf>
    <xf numFmtId="168" fontId="17" fillId="2" borderId="0" xfId="7" applyNumberFormat="1" applyFont="1" applyFill="1" applyAlignment="1">
      <alignment vertical="center"/>
    </xf>
    <xf numFmtId="0" fontId="15" fillId="2" borderId="2" xfId="12" applyFont="1" applyFill="1" applyBorder="1" applyAlignment="1">
      <alignment horizontal="centerContinuous" vertical="center"/>
    </xf>
    <xf numFmtId="168" fontId="17" fillId="2" borderId="1" xfId="7" applyNumberFormat="1" applyFont="1" applyFill="1" applyBorder="1" applyAlignment="1">
      <alignment vertical="center"/>
    </xf>
    <xf numFmtId="0" fontId="18" fillId="2" borderId="2" xfId="14" applyFont="1" applyFill="1" applyBorder="1" applyAlignment="1">
      <alignment vertical="center" wrapText="1"/>
    </xf>
    <xf numFmtId="0" fontId="18" fillId="2" borderId="2" xfId="14" applyFont="1" applyFill="1" applyBorder="1" applyAlignment="1">
      <alignment horizontal="centerContinuous" vertical="center" wrapText="1"/>
    </xf>
    <xf numFmtId="164" fontId="17" fillId="0" borderId="0" xfId="7" applyNumberFormat="1" applyFont="1" applyAlignment="1">
      <alignment horizontal="centerContinuous" vertical="center"/>
    </xf>
    <xf numFmtId="10" fontId="17" fillId="0" borderId="0" xfId="7" applyNumberFormat="1" applyFont="1" applyAlignment="1">
      <alignment horizontal="centerContinuous" vertical="center"/>
    </xf>
    <xf numFmtId="168" fontId="17" fillId="0" borderId="1" xfId="7" applyNumberFormat="1" applyFont="1" applyBorder="1" applyAlignment="1">
      <alignment vertical="center"/>
    </xf>
    <xf numFmtId="10" fontId="17" fillId="0" borderId="1" xfId="7" applyNumberFormat="1" applyFont="1" applyBorder="1" applyAlignment="1">
      <alignment vertical="center"/>
    </xf>
    <xf numFmtId="0" fontId="18" fillId="2" borderId="2" xfId="14" applyFont="1" applyFill="1" applyBorder="1" applyAlignment="1">
      <alignment wrapText="1"/>
    </xf>
    <xf numFmtId="168" fontId="15" fillId="0" borderId="2" xfId="2" applyNumberFormat="1" applyFont="1" applyBorder="1" applyAlignment="1">
      <alignment horizontal="centerContinuous" vertical="center"/>
    </xf>
    <xf numFmtId="0" fontId="15" fillId="0" borderId="2" xfId="12" applyFont="1" applyBorder="1" applyAlignment="1">
      <alignment horizontal="centerContinuous" vertical="center"/>
    </xf>
    <xf numFmtId="10" fontId="15" fillId="0" borderId="2" xfId="12" applyNumberFormat="1" applyFont="1" applyBorder="1" applyAlignment="1">
      <alignment horizontal="centerContinuous" vertical="center"/>
    </xf>
    <xf numFmtId="168" fontId="15" fillId="0" borderId="2" xfId="2" applyNumberFormat="1" applyFont="1" applyBorder="1" applyAlignment="1">
      <alignment horizontal="centerContinuous" vertical="center" wrapText="1"/>
    </xf>
    <xf numFmtId="0" fontId="35" fillId="2" borderId="2" xfId="15" applyFont="1" applyFill="1" applyBorder="1" applyAlignment="1">
      <alignment horizontal="centerContinuous" vertical="center"/>
    </xf>
    <xf numFmtId="164" fontId="44" fillId="0" borderId="0" xfId="1" applyNumberFormat="1" applyFont="1" applyAlignment="1">
      <alignment vertical="center" wrapText="1"/>
    </xf>
    <xf numFmtId="168" fontId="15" fillId="2" borderId="2" xfId="2" applyNumberFormat="1" applyFont="1" applyFill="1" applyBorder="1" applyAlignment="1">
      <alignment horizontal="centerContinuous" vertical="center"/>
    </xf>
    <xf numFmtId="168" fontId="15" fillId="2" borderId="2" xfId="2" applyNumberFormat="1" applyFont="1" applyFill="1" applyBorder="1" applyAlignment="1">
      <alignment horizontal="centerContinuous" vertical="center" wrapText="1"/>
    </xf>
    <xf numFmtId="4" fontId="35" fillId="2" borderId="2" xfId="15" applyNumberFormat="1" applyFont="1" applyFill="1" applyBorder="1" applyAlignment="1">
      <alignment horizontal="centerContinuous" vertical="center"/>
    </xf>
  </cellXfs>
  <cellStyles count="16">
    <cellStyle name="Comma 2" xfId="5" xr:uid="{00000000-0005-0000-0000-000000000000}"/>
    <cellStyle name="Comma 2 57" xfId="13" xr:uid="{00000000-0005-0000-0000-000001000000}"/>
    <cellStyle name="Comma 3" xfId="6" xr:uid="{00000000-0005-0000-0000-000002000000}"/>
    <cellStyle name="Normal" xfId="0" builtinId="0"/>
    <cellStyle name="Normal 2" xfId="1" xr:uid="{00000000-0005-0000-0000-000003000000}"/>
    <cellStyle name="Normal 3" xfId="2" xr:uid="{00000000-0005-0000-0000-000004000000}"/>
    <cellStyle name="Normal 3 5" xfId="3" xr:uid="{00000000-0005-0000-0000-000005000000}"/>
    <cellStyle name="Normal 5 24" xfId="8" xr:uid="{00000000-0005-0000-0000-000006000000}"/>
    <cellStyle name="Percent 2" xfId="9" xr:uid="{00000000-0005-0000-0000-000007000000}"/>
    <cellStyle name="Обычный 10" xfId="4" xr:uid="{00000000-0005-0000-0000-000009000000}"/>
    <cellStyle name="Обычный 2 2 3" xfId="11" xr:uid="{00000000-0005-0000-0000-00000A000000}"/>
    <cellStyle name="Обычный 5" xfId="14" xr:uid="{00000000-0005-0000-0000-00000B000000}"/>
    <cellStyle name="Обычный 6" xfId="15" xr:uid="{00000000-0005-0000-0000-00000C000000}"/>
    <cellStyle name="Обычный 8" xfId="7" xr:uid="{00000000-0005-0000-0000-00000D000000}"/>
    <cellStyle name="Финансовый 3" xfId="10" xr:uid="{00000000-0005-0000-0000-00000E000000}"/>
    <cellStyle name="常规 2 2 5 2" xfId="12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8" Type="http://schemas.openxmlformats.org/officeDocument/2006/relationships/worksheet" Target="worksheets/sheet8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-idbcd-wg1\USER\SETSUBI\ME-2&#31309;&#31639;\01&#31309;&#31639;&#12503;&#12525;&#12472;&#12455;&#12463;&#12488;\&#20013;&#22269;\(2004.12)ACW%20PJ(&#12381;&#12398;2&#65289;\pulau%20final\WINDOWS\Desktop\New%20Folder\Qo-158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edmslon.dluk.net\London\47004\Main\J%20-%20Estimates\01%20Full%20Estimates%20and%20Cost%20Plans\2007%2011%2012%20Crown%20Place%20Cost%20Plan%20nr(xxxx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doh6fp001\DATA\Documents%20and%20Settings\Administrator\My%20Documents\Castillo%20Grand\Castillo%20Grand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server\ShareDoc\Documents%20and%20Settings\09021205\Local%20Settings\Temporary%20Internet%20Files\Content.IE5\O5ABO9YV\UAE\PROGRE~1\&#44592;&#49457;\&#44277;&#44396;&#49892;&#54665;\BV\&#44608;&#54252;BV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://&#22269;&#38469;&#20844;&#21496;/2017/&#23433;&#21733;&#25289;&#27700;&#22788;&#29702;/&#26368;&#32456;&#25253;&#20215;/Q1&#31995;&#32479;&#25253;&#20215;0514&#65288;DN1400&#22269;&#20135;&#65289;-2018091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://Wilson/BOQ/507-4/514-9-BQ-ADD-R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C://&#25237;&#26631;/&#38463;&#32654;&#30707;&#27833;&#20844;&#21496;&#21513;&#36798;&#22269;&#27665;&#35686;&#21355;&#38431;&#20303;&#23429;&#23567;&#21306;&#23398;&#26657;&#39033;&#30446;/&#26032;&#24314;&#25991;&#20214;&#22841;/Embobut&#30005;&#31449;&#25253;&#20215;-10.9-&#23385;-&#36164;&#37329;&#27969;-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://1&#24037;&#20316;&#25991;&#20214;/1.&#25237;&#26631;&#36164;&#26009;/&#25237;&#26631;&#25991;&#20214;/&#19975;&#21338;&#21306;&#22495;/&#19975;&#21338;&#22478;&#24066;&#31649;&#32593;&#21450;&#20837;&#25143;&#36830;&#25509;LOT2/Shalina%20Centre%20BOQ&#25253;&#20215;%2020160427(&#25253;&#36865;-&#35843;&#25972;&#65289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://2016&#24180;&#24230;/2016.12.20&#25705;&#27931;&#21733;&#20809;&#20239;/&#21830;&#21153;&#25253;&#20215;/&#25705;&#27931;&#21733;120MW&#20809;&#20239;&#39033;&#30446;&#22303;&#24314;&#24037;&#31243;&#20998;&#21253;-&#31243;&#24635;&#20462;&#25913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C://Users/TYSH/Desktop/&#23398;&#26657;&#26631;&#27719;&#25253;&#26448;&#26009;/&#25253;&#20215;&#27719;&#24635;-2015.12.30/&#25253;&#20215;&#27719;&#24635;-2015.12.30/&#25253;&#20215;&#27719;&#24635;-2015.12.30/&#20854;&#20182;&#30452;&#25509;&#36153;&#12289;&#38388;&#25509;&#36153;-&#36213;&#20029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C://&#20108;&#37096;&#24037;&#20316;/&#27801;&#29305;&#20891;&#33829;/FVWRMP-ICB2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Users\nie_jy.kys\AppData\Local\Microsoft\Windows\Temporary%20Internet%20Files\Content.Outlook\YSQ2T6KO\My%20Documents\&#21326;&#38738;&#36335;&#39030;&#31649;&#20117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C://Users/len/Desktop/ANALYSIS/REGRESS.XLA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Users\nie_jy.kys\AppData\Local\Microsoft\Windows\Temporary%20Internet%20Files\Content.Outlook\YSQ2T6KO\DOCUME~1\yuan_h.gys\LOCALS~1\Temp\user2005year\&#26477;&#24030;&#24066;&#22235;&#22561;&#21378;&#21453;&#21521;&#36755;&#36865;&#24037;&#31243;&#27010;&#31639;08\&#36755;&#36865;&#27893;&#25151;&#22303;&#24314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://1-&#32943;&#23612;&#20122;&#25237;&#26631;&#39033;&#30446;/1-&#32943;&#23612;&#20122;NCT&#36755;&#27700;&#38567;&#36947;&#39033;&#30446;2014.4.29/9-&#26631;&#20070;&#20215;/1-&#25237;&#26631;&#20215;-&#35780;&#23457;&#21518;&#20462;&#25913;&#20215;4.26&#29256;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yh\work\2008\&#37325;&#24198;&#27745;&#27700;&#24037;&#21487;\&#31119;&#27704;&#36130;&#21153;&#35780;&#20215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PC_Template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Z"/>
      <sheetName val="AA"/>
      <sheetName val="Cash1"/>
      <sheetName val="Cash2"/>
      <sheetName val="Cash_Sum"/>
      <sheetName val="Scope"/>
      <sheetName val="C1ㅇ"/>
      <sheetName val="Base BM-rebar"/>
      <sheetName val="List"/>
      <sheetName val="Raw Data"/>
      <sheetName val="BOQ"/>
      <sheetName val="Fit Out B2a"/>
      <sheetName val="katsayı"/>
      <sheetName val="Testing"/>
      <sheetName val="Qo-1585"/>
      <sheetName val="ANALIZ"/>
      <sheetName val="③赤紙(日文)"/>
      <sheetName val="KADIKES2"/>
      <sheetName val="Co_Ef"/>
      <sheetName val="Co Eff"/>
      <sheetName val="TESİSAT"/>
      <sheetName val="FOL - Bar"/>
      <sheetName val="Option"/>
      <sheetName val="C3"/>
      <sheetName val="Day work"/>
      <sheetName val="기계내역서"/>
      <sheetName val="FitOutConfCentre"/>
      <sheetName val="Payments and Cash Calls"/>
      <sheetName val="Calendar"/>
      <sheetName val="税费"/>
      <sheetName val="Base_BM-rebar"/>
      <sheetName val="Raw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 control"/>
      <sheetName val="Notes"/>
      <sheetName val="Cover"/>
      <sheetName val="Document Issue Sheet"/>
      <sheetName val="Contents"/>
      <sheetName val="1.0 Executive Summary"/>
      <sheetName val="2.0 Cost Plan"/>
      <sheetName val="2.0 Cost Plan (Model) Summary"/>
      <sheetName val="3.0 Basis and Assumptions"/>
      <sheetName val="4.0 Exclusions"/>
      <sheetName val="5.0 Benchmarking Analysis 1"/>
      <sheetName val="5.0 Benchmarking Analysis 2"/>
      <sheetName val="5.0 Benchmarking Analysis 3"/>
      <sheetName val="6.0 Key Parameters"/>
      <sheetName val="7.0 Risks and Opportunities"/>
      <sheetName val="8.0 Outline Specification"/>
      <sheetName val="Cash Flow"/>
      <sheetName val="Flysheets"/>
      <sheetName val="FitOutConfCentre"/>
      <sheetName val="Cash2"/>
      <sheetName val="Z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ecutive Summary"/>
      <sheetName val="Estimate Summary (Hotel)"/>
      <sheetName val="Estimate Summary (Parking)"/>
      <sheetName val="Estimate Summary (Timeshares)"/>
      <sheetName val="Estimate Summary (Condominiums)"/>
      <sheetName val="Detail Summary"/>
      <sheetName val="Detail Guestrooms"/>
      <sheetName val="Detail Public Spaces"/>
      <sheetName val="Detail Service Areas"/>
      <sheetName val="Detail Parking Deck"/>
      <sheetName val="Detail Condo"/>
      <sheetName val="Detail Timeshare"/>
      <sheetName val="CONDO Summary"/>
      <sheetName val="CONDO 1"/>
      <sheetName val="CONDO 2"/>
      <sheetName val="CONDO 3"/>
      <sheetName val="CONDO 4"/>
      <sheetName val="CONDO 5"/>
      <sheetName val="PENTHOUSE"/>
      <sheetName val="CONDO CIRCULATION"/>
      <sheetName val="TIMESHARE Summary"/>
      <sheetName val="TIMESHARE UNIT"/>
      <sheetName val="TIMESHARE CIRCULATION"/>
      <sheetName val="GRSummary"/>
      <sheetName val="TYPICAL"/>
      <sheetName val="SUITE"/>
      <sheetName val="JUNIOR SUITE"/>
      <sheetName val="PRESIDENTIAL SUITE"/>
      <sheetName val="GUESTROOM CIRC."/>
      <sheetName val="PUBSummary"/>
      <sheetName val="PUBLIC AREAS"/>
      <sheetName val="FUNCTION AREAS"/>
      <sheetName val="PUBLIC FOOD &amp; BEVERAGE AREAS"/>
      <sheetName val="HEALTH CLUB"/>
      <sheetName val="EXECUTIVE OFFICES"/>
      <sheetName val="ADMIN OFFICES"/>
      <sheetName val="ACCT'G OFFICES"/>
      <sheetName val="RECEPT.-BACK OFFICES"/>
      <sheetName val="SERVSummary"/>
      <sheetName val="GUESTROOM SERV."/>
      <sheetName val="BOH FOOD &amp; BEVERAGE"/>
      <sheetName val="HOUSEKPG-LAUNDRY"/>
      <sheetName val="MAINTENANCE"/>
      <sheetName val="EMPLOYEE FACILITIES"/>
      <sheetName val="RECEIVING &amp; PURCHASING"/>
      <sheetName val="MECHANICAL"/>
      <sheetName val="SECURITY"/>
      <sheetName val="SERVICE AREA CIRCULATION"/>
      <sheetName val="Site Summary"/>
      <sheetName val="Site Detail"/>
      <sheetName val="Room Count"/>
      <sheetName val="Room Floor SF"/>
      <sheetName val="Gross SF"/>
      <sheetName val="Vertical Trans."/>
      <sheetName val="BOQ"/>
      <sheetName val="Day work"/>
      <sheetName val="Raw Data"/>
      <sheetName val="Sheet2"/>
      <sheetName val="Ramp data"/>
      <sheetName val="Sheet1"/>
      <sheetName val="#REF"/>
      <sheetName val="Inputs"/>
      <sheetName val="Income"/>
      <sheetName val="Cashflow"/>
      <sheetName val="Assumptions"/>
      <sheetName val="PPlay_Data"/>
      <sheetName val="Cap Cost"/>
      <sheetName val="Control"/>
      <sheetName val="Data_Sheet"/>
      <sheetName val="RLV Calc"/>
      <sheetName val="Costs (dev)"/>
      <sheetName val="Summary"/>
      <sheetName val="Bluewater NPV - sell January"/>
      <sheetName val="Calcs"/>
      <sheetName val="Upper Ground"/>
      <sheetName val="Lower Ground"/>
      <sheetName val="Letting"/>
      <sheetName val="Financial Summary"/>
      <sheetName val="D&amp;C Calcs"/>
      <sheetName val="CA Upside_Downside Old"/>
      <sheetName val="S-C+Market"/>
      <sheetName val="UBR"/>
      <sheetName val="EASEL CA Example"/>
      <sheetName val="Hotel Areas"/>
      <sheetName val="Equip"/>
      <sheetName val="C1ㅇ"/>
      <sheetName val="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"/>
      <sheetName val="예산서"/>
      <sheetName val="설명서"/>
      <sheetName val="김포BV"/>
      <sheetName val="공재료비단가산출"/>
      <sheetName val="공노무비단가산출"/>
      <sheetName val="수량산출서"/>
      <sheetName val="품 #1,#2"/>
      <sheetName val="품 #3~#14"/>
      <sheetName val="산출표지"/>
      <sheetName val="산 #1"/>
      <sheetName val="산 #8-1"/>
      <sheetName val="산 #8-2"/>
      <sheetName val="노임단가"/>
      <sheetName val="C3"/>
      <sheetName val="C4"/>
      <sheetName val="S1(1)"/>
      <sheetName val="S2(1)"/>
      <sheetName val="S3(1)"/>
      <sheetName val="S4(1)"/>
      <sheetName val="S5(1)"/>
      <sheetName val="S7 (2)"/>
      <sheetName val="S10"/>
      <sheetName val="S11"/>
      <sheetName val="S12"/>
      <sheetName val="S13"/>
      <sheetName val="S14"/>
      <sheetName val="S15"/>
      <sheetName val="S16"/>
      <sheetName val="S2 (2)"/>
      <sheetName val="S3 (2)"/>
      <sheetName val="S4 (2)"/>
      <sheetName val="S5(2)"/>
      <sheetName val="S6 (2)"/>
      <sheetName val="S6"/>
      <sheetName val="S7"/>
      <sheetName val="S8"/>
      <sheetName val="Sheet1"/>
      <sheetName val="Sheet2"/>
      <sheetName val="S9"/>
      <sheetName val="당초"/>
      <sheetName val="Notes"/>
      <sheetName val="기계내역서"/>
      <sheetName val="Raw Data"/>
      <sheetName val="#REF"/>
      <sheetName val="SUMMARY"/>
      <sheetName val="Basis"/>
      <sheetName val="BOQ"/>
      <sheetName val="BOQ-M"/>
      <sheetName val="Option"/>
      <sheetName val="ajv98"/>
      <sheetName val="asc98"/>
      <sheetName val="ats98"/>
      <sheetName val="3rdAC"/>
      <sheetName val="3rdBG"/>
      <sheetName val="ACSC"/>
      <sheetName val="ACTS"/>
      <sheetName val="Day work"/>
      <sheetName val="General"/>
      <sheetName val="Bill 1 - Preliminaries"/>
      <sheetName val="Cash Flow"/>
      <sheetName val="w't table"/>
      <sheetName val="d-7"/>
      <sheetName val="細目"/>
      <sheetName val="Direct Cost"/>
      <sheetName val="QUOTE_E"/>
      <sheetName val="GRSummary"/>
      <sheetName val="Proj Cost Sumry"/>
      <sheetName val="cp-e1"/>
      <sheetName val="BOQ-E(1).Net"/>
      <sheetName val="Lstsub"/>
      <sheetName val="PRICING"/>
      <sheetName val="AcousticLagging110"/>
      <sheetName val="Bill 1"/>
      <sheetName val="Bill 2"/>
      <sheetName val="Bill 3"/>
      <sheetName val="Bill 4"/>
      <sheetName val="Bill 5"/>
      <sheetName val="Bill 6"/>
      <sheetName val="Bill 7"/>
      <sheetName val="SubmitCal"/>
      <sheetName val="beam-reinf "/>
      <sheetName val="Cash2"/>
      <sheetName val="Z"/>
      <sheetName val="Z- GENERAL PRICE SUMMARY"/>
      <sheetName val="WITHOUT C&amp;I PROFIT (3)"/>
      <sheetName val="Contents"/>
      <sheetName val="?????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础数据"/>
      <sheetName val="汇率"/>
      <sheetName val="混凝土配合比"/>
      <sheetName val="材料设备价格（设计院）"/>
      <sheetName val="材料"/>
      <sheetName val="设备台班"/>
      <sheetName val="3-中方人员费用计算表"/>
      <sheetName val="2-中方管理人员工资测算表"/>
      <sheetName val="摊销费计算"/>
      <sheetName val="间接费"/>
      <sheetName val="JD"/>
      <sheetName val="GJ"/>
      <sheetName val="PL"/>
      <sheetName val="报价汇总表"/>
      <sheetName val="清单"/>
      <sheetName val="BQ"/>
      <sheetName val="取水"/>
      <sheetName val="报价组成表"/>
      <sheetName val="辅助单价"/>
      <sheetName val="自动化"/>
      <sheetName val="Sheet1"/>
      <sheetName val="电气"/>
      <sheetName val="机电"/>
      <sheetName val="原水管线"/>
      <sheetName val="处理厂土建"/>
      <sheetName val="取水工程"/>
      <sheetName val="摊销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  for Rate Entry"/>
      <sheetName val="Summary"/>
      <sheetName val="Bill 1"/>
      <sheetName val="Bill 2"/>
      <sheetName val="Bill 3"/>
      <sheetName val="Bill 4"/>
      <sheetName val="Bill 5"/>
      <sheetName val="Bill 6"/>
      <sheetName val="Bill 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wer Embobut Penstock"/>
      <sheetName val="Upper Embobut Penstock"/>
      <sheetName val="水机"/>
      <sheetName val="电气一次二次"/>
      <sheetName val="金结上坝+下坝"/>
      <sheetName val="通信"/>
      <sheetName val="通风空调"/>
      <sheetName val="给排水"/>
      <sheetName val="General item"/>
      <sheetName val="BOQ01"/>
      <sheetName val="BOQ03"/>
      <sheetName val="BOQ05"/>
      <sheetName val="BOQ06"/>
      <sheetName val="BOQ07"/>
      <sheetName val="BOQ08"/>
      <sheetName val="BOQ0091"/>
      <sheetName val="BOQ0092"/>
      <sheetName val="BOQ0093"/>
      <sheetName val="BOQ0094"/>
      <sheetName val="Esub"/>
      <sheetName val="BOQ1000"/>
      <sheetName val="BOQ1100"/>
      <sheetName val="BOQ02"/>
      <sheetName val="BOQ04"/>
      <sheetName val="总表"/>
      <sheetName val="GSum"/>
      <sheetName val="汇总表-Lower"/>
      <sheetName val="Embobut工程量与结构尺寸"/>
      <sheetName val="说明"/>
      <sheetName val="报价构成"/>
      <sheetName val="间接费"/>
      <sheetName val="摊销费"/>
      <sheetName val="BOQ"/>
      <sheetName val="EQ"/>
      <sheetName val="PAL"/>
      <sheetName val="GS"/>
      <sheetName val="资金流"/>
      <sheetName val="支付资金表"/>
      <sheetName val="资金流图表"/>
      <sheetName val="汇率"/>
      <sheetName val="机电询价"/>
      <sheetName val="01-临建-道路-供水-供电-拌合设施-骨料加工设施"/>
      <sheetName val="02-车辆"/>
      <sheetName val="03-运行费"/>
      <sheetName val="04-办公实验测量"/>
      <sheetName val="05-人员工资"/>
      <sheetName val="06-生活设施"/>
      <sheetName val="临时道路"/>
      <sheetName val="配合比"/>
      <sheetName val="基础单价"/>
      <sheetName val="基价分析"/>
      <sheetName val="通风排水费"/>
      <sheetName val="钢模台车"/>
      <sheetName val="Sheet1"/>
      <sheetName val="Sheet5"/>
      <sheetName val="Sheet2"/>
      <sheetName val="集团附件1"/>
      <sheetName val="附表2.1"/>
      <sheetName val="集团附件2"/>
      <sheetName val="集团附件3"/>
      <sheetName val="集团附件4"/>
      <sheetName val="集团附件5"/>
      <sheetName val="材料价"/>
      <sheetName val="集团附件6"/>
      <sheetName val="集团附件7"/>
      <sheetName val="集团附件8"/>
      <sheetName val="集团附件9"/>
      <sheetName val="集团附件10"/>
      <sheetName val="施工道路M"/>
      <sheetName val="通风排水材料M"/>
      <sheetName val="机电金结报价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BQ"/>
      <sheetName val="BQ External"/>
      <sheetName val="SHOPLIST"/>
      <sheetName val="icmal"/>
      <sheetName val="GFA_HQ_Building"/>
      <sheetName val="GFA_Conference"/>
      <sheetName val="BQ_External"/>
      <sheetName val="Bill_1"/>
      <sheetName val="Bill_2"/>
      <sheetName val="Bill_3"/>
      <sheetName val="Bill_4"/>
      <sheetName val="Bill_5"/>
      <sheetName val="Bill_6"/>
      <sheetName val="Bill_7"/>
      <sheetName val="LABOUR HISTOGRAM"/>
      <sheetName val="Penthouse Apartment"/>
      <sheetName val="Notes"/>
      <sheetName val="Basis"/>
      <sheetName val="#REF"/>
      <sheetName val="StattCo yCharges"/>
      <sheetName val="Su}}ary"/>
      <sheetName val="TAS"/>
      <sheetName val="SubmitCal"/>
      <sheetName val="Cash2"/>
      <sheetName val="Z"/>
      <sheetName val="Raw Data"/>
      <sheetName val="Graph Data (DO NOT PRINT)"/>
      <sheetName val="D-623D"/>
      <sheetName val="1"/>
      <sheetName val="税费"/>
      <sheetName val="HQ-TO"/>
      <sheetName val="CASHFLOWS"/>
      <sheetName val="Option"/>
      <sheetName val="Chiet tinh dz22"/>
      <sheetName val="Chiet tinh dz35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Lab Cum Hist"/>
      <sheetName val="ancillary"/>
      <sheetName val="CT Thang Mo"/>
      <sheetName val="BOQ"/>
      <sheetName val="Bill No. 2"/>
      <sheetName val="budget summary (2)"/>
      <sheetName val="Budget Analysis Summary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Sheet2"/>
      <sheetName val="Customize Your Invoice"/>
      <sheetName val="B"/>
      <sheetName val="HVAC BoQ"/>
      <sheetName val="PriceSummary"/>
      <sheetName val="企业表一"/>
      <sheetName val="M-5C"/>
      <sheetName val="M-5A"/>
      <sheetName val=""/>
      <sheetName val="改加胶玻璃、室外栏杆"/>
      <sheetName val="LEVEL SHEET"/>
      <sheetName val="SPT vs PHI"/>
      <sheetName val="Sheet1"/>
      <sheetName val="FOL - Bar"/>
      <sheetName val="CT  PL"/>
      <sheetName val="Top sheet"/>
      <sheetName val="Body Sheet"/>
      <sheetName val="1.0 Executive Summary"/>
      <sheetName val="intr stool brkup"/>
      <sheetName val="Data"/>
      <sheetName val="Tender Summary"/>
      <sheetName val="Insurance Ext"/>
      <sheetName val="Prelims"/>
      <sheetName val="2 Div 14 "/>
      <sheetName val="ConferenceCentre옰ʒ䄂ʒ鵠ʐ䄂ʒ閐̐䄂ʒ蕈̐"/>
      <sheetName val="LABOUR_HISTOGRAM"/>
      <sheetName val="JAS"/>
      <sheetName val="ANNEXURE-A"/>
      <sheetName val="POWER"/>
      <sheetName val="MTP"/>
      <sheetName val="Budget"/>
      <sheetName val="GFA_HQ_Building1"/>
      <sheetName val="COC"/>
      <sheetName val="Rate analysis"/>
      <sheetName val="ACT_SPS"/>
      <sheetName val="SPSF"/>
      <sheetName val="Invoice Summary"/>
      <sheetName val="GFA_Conference1"/>
      <sheetName val="BQ_External1"/>
      <sheetName val="Penthouse_Apartment"/>
      <sheetName val="StattCo_yCharges"/>
      <sheetName val="Raw_Data"/>
      <sheetName val="@risk_rents_and_incentives"/>
      <sheetName val="Car_park_lease"/>
      <sheetName val="Net_rent_analysis"/>
      <sheetName val="Poz-1_"/>
      <sheetName val="Chiet_tinh_dz22"/>
      <sheetName val="Chiet_tinh_dz35"/>
      <sheetName val="Lab_Cum_Hist"/>
      <sheetName val="Graph_Data_(DO_NOT_PRINT)"/>
      <sheetName val="Projet,_methodes_&amp;_couts"/>
      <sheetName val="Risques_majeurs_&amp;_Frais_Ind_"/>
      <sheetName val="CT_Thang_Mo"/>
      <sheetName val="Bill_No__2"/>
      <sheetName val="SPT_vs_PHI"/>
      <sheetName val="budget_summary_(2)"/>
      <sheetName val="Budget_Analysis_Summary"/>
      <sheetName val="CT__PL"/>
      <sheetName val="LEVEL_SHEET"/>
      <sheetName val="FOL_-_Bar"/>
      <sheetName val="Geneí¬_x0008_i_x0014_0."/>
      <sheetName val="70,/0s«_x0008_iÆø_x0003_í¬_x0008_i"/>
      <sheetName val="Ap A"/>
      <sheetName val="Bill 2"/>
      <sheetName val="LABOUR_HISTOGRAM1"/>
      <sheetName val="Rate_Analysis"/>
      <sheetName val="SHOPLIST.xls"/>
      <sheetName val="Inputs"/>
      <sheetName val="汇率"/>
      <sheetName val="GS"/>
      <sheetName val="材料价"/>
      <sheetName val="List"/>
      <sheetName val="Currencies"/>
      <sheetName val="Bill 1"/>
      <sheetName val="Bill 3"/>
      <sheetName val="Bill 4"/>
      <sheetName val="Bill 5"/>
      <sheetName val="Bill 6"/>
      <sheetName val="Bill 7"/>
      <sheetName val="PROJECT BRIEF"/>
      <sheetName val="DATAS"/>
      <sheetName val="Dubai golf"/>
      <sheetName val="Tender_Summary"/>
      <sheetName val="Insurance_Ext"/>
      <sheetName val="sal"/>
      <sheetName val="Customize_Your_Invoice"/>
      <sheetName val="HVAC_BoQ"/>
      <sheetName val="기계내역서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udget_summary_(2)1"/>
      <sheetName val="Budget_Analysis_Summary1"/>
      <sheetName val="Body_Sheet1"/>
      <sheetName val="1_0_Executive_Summary1"/>
      <sheetName val="Projet,_methodes_&amp;_couts1"/>
      <sheetName val="Risques_majeurs_&amp;_Frais_Ind_1"/>
      <sheetName val="CT__PL1"/>
      <sheetName val="Top_sheet1"/>
      <sheetName val="intr_stool_brkup1"/>
      <sheetName val="Rate_analysis1"/>
      <sheetName val="GFA_HQ_Building2"/>
      <sheetName val="GFA_Conference2"/>
      <sheetName val="StattCo_yCharges1"/>
      <sheetName val="BQ_External2"/>
      <sheetName val="Penthouse_Apartment1"/>
      <sheetName val="LABOUR_HISTOGRAM2"/>
      <sheetName val="Chiet_tinh_dz221"/>
      <sheetName val="Chiet_tinh_dz351"/>
      <sheetName val="CT_Thang_Mo1"/>
      <sheetName val="Raw_Data1"/>
      <sheetName val="@risk_rents_and_incentives1"/>
      <sheetName val="Car_park_lease1"/>
      <sheetName val="Net_rent_analysis1"/>
      <sheetName val="Poz-1_1"/>
      <sheetName val="Lab_Cum_Hist1"/>
      <sheetName val="Graph_Data_(DO_NOT_PRINT)1"/>
      <sheetName val="LEVEL_SHEET1"/>
      <sheetName val="Bill_No__21"/>
      <sheetName val="Tender_Summary1"/>
      <sheetName val="Insurance_Ext1"/>
      <sheetName val="FOL_-_Bar1"/>
      <sheetName val="SPT_vs_PHI1"/>
      <sheetName val="Customize_Your_Invoice1"/>
      <sheetName val="HVAC_BoQ1"/>
      <sheetName val="Body_Sheet"/>
      <sheetName val="1_0_Executive_Summary"/>
      <sheetName val="Top_sheet"/>
      <sheetName val="intr_stool_brkup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SAP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Sheet3"/>
      <sheetName val="C (3)"/>
      <sheetName val="concrete"/>
      <sheetName val="beam-reinft-IIInd floor"/>
      <sheetName val="Wall"/>
      <sheetName val="beam-reinft-machine rm"/>
      <sheetName val="girder"/>
      <sheetName val="Rocker"/>
      <sheetName val="98Price"/>
      <sheetName val="POWER ASSUMPTIONS"/>
      <sheetName val="MOS"/>
      <sheetName val="공종별_집계금액"/>
      <sheetName val="Civil Boq"/>
      <sheetName val="Data_Summary"/>
      <sheetName val="Activity List"/>
      <sheetName val="Geneí¬_x0008_i"/>
      <sheetName val="70"/>
      <sheetName val="GFA_HQ_Building6"/>
      <sheetName val="WITHOUT C&amp;I PROFIT (3)"/>
      <sheetName val="CODE"/>
      <sheetName val="HIRED LABOUR CODE"/>
      <sheetName val="PA- Consutant "/>
      <sheetName val="Design"/>
      <sheetName val="upa"/>
      <sheetName val="foot-slab reinft"/>
      <sheetName val="마산월령동골조물량변경"/>
      <sheetName val="Softscape Buildup"/>
      <sheetName val="Mat'l Rate"/>
      <sheetName val="CERTIFICATE"/>
      <sheetName val="Bill_21"/>
      <sheetName val="2_Div_14_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BILL COV"/>
      <sheetName val="Ap_A"/>
      <sheetName val="SHOPLIST_xls"/>
      <sheetName val="Geneí¬i0_"/>
      <sheetName val="70,/0s«iÆøí¬i"/>
      <sheetName val="Invoice_Summary"/>
      <sheetName val="PROJECT_BRIEF"/>
      <sheetName val="Ra  stair"/>
      <sheetName val="Materials Cost(PCC)"/>
      <sheetName val="India F&amp;S Template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ABSTRACT"/>
      <sheetName val="DETAILED  BOQ"/>
      <sheetName val="M-Book for Conc"/>
      <sheetName val="M-Book for FW"/>
      <sheetName val="Vehicles"/>
      <sheetName val="Geneí¬_x0008_i_x0000__x0000__x0014__x0000_0."/>
      <sheetName val="70_x0000_,/0_x0000_s«_x0008_i_x0000_Æø_x0003_í¬_x0008_i_x0000_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/>
      <sheetData sheetId="333" refreshError="1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Financial plan"/>
      <sheetName val="SUMMARY"/>
      <sheetName val="AC_BOQ -FinalAngola"/>
      <sheetName val="ARCH&amp; STRUCTURE BOQ Final -Ango"/>
      <sheetName val="Electrical BOQ -Final-Angola"/>
      <sheetName val="DJFX"/>
      <sheetName val="材料"/>
      <sheetName val="基础单价"/>
      <sheetName val="设备"/>
      <sheetName val="业主工程师费用"/>
      <sheetName val="1-人员-办公室-营地-交通车辆配置表"/>
      <sheetName val="2-中方管理人员工资测算表"/>
      <sheetName val="3-中方管理人员工资计算表"/>
      <sheetName val="4-其他直接费"/>
      <sheetName val="5-管理费"/>
      <sheetName val="标价组成表"/>
      <sheetName val="基础数据表"/>
      <sheetName val="混凝土配合比"/>
      <sheetName val="空调通风"/>
      <sheetName val="其它"/>
      <sheetName val="Sheet5"/>
      <sheetName val="Sheet4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价说明"/>
      <sheetName val="BOQ"/>
      <sheetName val="fx"/>
      <sheetName val="PAL1"/>
      <sheetName val="EQ"/>
      <sheetName val="MA"/>
      <sheetName val="定额"/>
      <sheetName val="标价组成"/>
      <sheetName val="汇率&amp;代码"/>
      <sheetName val="配合比"/>
      <sheetName val="人员工资"/>
      <sheetName val="1人员办公室交通车辆配置表"/>
      <sheetName val="4摊销费计算表"/>
      <sheetName val="5管理费计算表"/>
      <sheetName val="集团表6"/>
      <sheetName val="集团表7"/>
      <sheetName val="主要价格"/>
      <sheetName val="2中方人员工资标准"/>
      <sheetName val="3中方管理人员费用计算表"/>
      <sheetName val="巴基斯坦M4公路配合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摊销费"/>
      <sheetName val="间接费"/>
      <sheetName val="人材机费用组成"/>
      <sheetName val="总价汇总"/>
      <sheetName val="人员营地"/>
      <sheetName val="人员配备"/>
      <sheetName val="贷款核算"/>
      <sheetName val="生活及办公家具"/>
      <sheetName val="基础数据"/>
      <sheetName val="业主费用"/>
      <sheetName val="主要工程量"/>
      <sheetName val="Sheet1"/>
      <sheetName val="降价情况汇总"/>
      <sheetName val="分包费用占比"/>
      <sheetName val="FitOutConfCent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一般项"/>
      <sheetName val="Pal"/>
      <sheetName val="Eq"/>
      <sheetName val="Ma"/>
      <sheetName val="Txf"/>
      <sheetName val="Jjf"/>
      <sheetName val="决策表"/>
      <sheetName val="Data"/>
      <sheetName val="配合比"/>
      <sheetName val="工程量计算"/>
      <sheetName val="Payment Currencies"/>
      <sheetName val="Adjustment Data"/>
      <sheetName val="BQ"/>
      <sheetName val="计算"/>
      <sheetName val="Boq"/>
      <sheetName val="Summary"/>
      <sheetName val="1.General Items"/>
      <sheetName val="2.Interfarm Canals"/>
      <sheetName val="3.Drip Irrigation"/>
      <sheetName val="4.SHD"/>
      <sheetName val="Dayworks"/>
      <sheetName val="Schedule 1"/>
      <sheetName val="编制说明"/>
      <sheetName val="临时设施"/>
      <sheetName val="主要项目单价"/>
      <sheetName val="主要设备表"/>
      <sheetName val="主要材料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二沉池配水井"/>
      <sheetName val="16#"/>
      <sheetName val="17#"/>
      <sheetName val="18#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RESS"/>
      <sheetName val="sheet1"/>
    </sheetNames>
    <sheetDataSet>
      <sheetData sheetId="0" refreshError="1"/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输送泵房土建"/>
      <sheetName val="XLR_NoRangeSheet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Schedule 2"/>
      <sheetName val="Price Schedule 3"/>
      <sheetName val="Price Schedule 4"/>
      <sheetName val="TABLE A"/>
      <sheetName val="TABLE B"/>
      <sheetName val="TABLE C"/>
      <sheetName val="MARAGUA围堰"/>
      <sheetName val="GIKIGIE围堰"/>
      <sheetName val="IRATI围堰 "/>
      <sheetName val="GITHIKA围堰 "/>
      <sheetName val="附表1.1"/>
      <sheetName val="附表1.2"/>
      <sheetName val="附表2.1"/>
      <sheetName val="附表2.2"/>
      <sheetName val="附表3"/>
      <sheetName val="附表4.摊销费"/>
      <sheetName val="附表5.间接费"/>
      <sheetName val="附表6.决策表"/>
      <sheetName val="附表7.单价"/>
      <sheetName val="报价说明"/>
      <sheetName val="1.1排水费"/>
      <sheetName val="1.2通风费"/>
      <sheetName val="1.3升变压及洞内照明"/>
      <sheetName val="1.4主洞开挖断面"/>
      <sheetName val="1.5主洞衬砌断面"/>
      <sheetName val="1.6施工道路"/>
      <sheetName val="1.7业主用房"/>
      <sheetName val="1.8 洞长统计"/>
      <sheetName val="EX.Sum-N"/>
      <sheetName val="Sum-N"/>
      <sheetName val="0.BOQ"/>
      <sheetName val="1.BOQ"/>
      <sheetName val="2.BOQ"/>
      <sheetName val="3.BOQ"/>
      <sheetName val="4a.BOQ Main Tunnel"/>
      <sheetName val="4b.BOQ"/>
      <sheetName val="5.BOQ Gikigie Adit"/>
      <sheetName val="6.BOQ Irati Shaft and Adit"/>
      <sheetName val="7.BOQ Kaanja Adit"/>
      <sheetName val="8.BOQ GITHIKA OUTFALL "/>
      <sheetName val="9 Dayworks"/>
      <sheetName val="01-临建"/>
      <sheetName val="02-车辆"/>
      <sheetName val="03-运行费"/>
      <sheetName val="04-办公实验测量"/>
      <sheetName val="05-人员工资"/>
      <sheetName val="06-生活设施"/>
      <sheetName val="配合比"/>
      <sheetName val="汇率"/>
      <sheetName val="PAL"/>
      <sheetName val="EQ"/>
      <sheetName val="材料价"/>
      <sheetName val="支付资金表"/>
      <sheetName val="资金流图表"/>
      <sheetName val="基础材料"/>
      <sheetName val="基价分析"/>
      <sheetName val="滑模及台车-参考"/>
      <sheetName val="通风排水费-参考"/>
      <sheetName val="通风排水工程量-参考"/>
      <sheetName val="排水-发电-通风-杜泊参考"/>
      <sheetName val="集团附件1"/>
      <sheetName val="集团附件3"/>
      <sheetName val="集团附件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总表"/>
      <sheetName val="利息"/>
      <sheetName val="流动资金"/>
      <sheetName val="成本"/>
      <sheetName val="年成本分析"/>
      <sheetName val="现金流量"/>
      <sheetName val="资本金现金流量"/>
      <sheetName val="损益表"/>
      <sheetName val="财务计划"/>
      <sheetName val="资产负债"/>
      <sheetName val="借款偿还"/>
      <sheetName val="财务指标"/>
      <sheetName val="敏感分析1"/>
      <sheetName val="资金来源运用"/>
      <sheetName val="XLR_NoRange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1 Comp"/>
      <sheetName val="Schedule 2. Supply of Plant EXW"/>
      <sheetName val="Cover of IPC "/>
      <sheetName val="Bill Summary"/>
      <sheetName val="Sch1. (A)"/>
      <sheetName val="Sch3. (A)"/>
      <sheetName val="Sch4. (A)"/>
      <sheetName val="Dayworks"/>
      <sheetName val="Schedule S1"/>
      <sheetName val="Schedule S2"/>
      <sheetName val="Sch1.  (B)"/>
      <sheetName val="Sch3. (B)"/>
      <sheetName val="Sch4. (B)"/>
      <sheetName val="Price adjustment "/>
      <sheetName val="Лист8"/>
      <sheetName val="Schedule S2 Comp"/>
      <sheetName val="Schedule 4A Comp"/>
    </sheetNames>
    <sheetDataSet>
      <sheetData sheetId="0"/>
      <sheetData sheetId="1">
        <row r="689">
          <cell r="H689">
            <v>0</v>
          </cell>
          <cell r="L689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"/>
  <sheetViews>
    <sheetView view="pageBreakPreview" topLeftCell="A4" zoomScale="55" zoomScaleNormal="55" zoomScaleSheetLayoutView="55" workbookViewId="0">
      <selection activeCell="C21" sqref="C21"/>
    </sheetView>
  </sheetViews>
  <sheetFormatPr defaultColWidth="55.109375" defaultRowHeight="14.4"/>
  <cols>
    <col min="1" max="1" width="79.6640625" style="1" customWidth="1"/>
    <col min="2" max="2" width="56.88671875" style="1" customWidth="1"/>
    <col min="3" max="3" width="51.33203125" style="1" customWidth="1"/>
    <col min="4" max="4" width="81.109375" style="1" customWidth="1"/>
    <col min="5" max="16384" width="55.109375" style="1"/>
  </cols>
  <sheetData>
    <row r="1" spans="1:5" ht="58.8" customHeight="1">
      <c r="A1" s="289" t="s">
        <v>0</v>
      </c>
      <c r="B1" s="290"/>
      <c r="C1" s="290"/>
      <c r="D1" s="290"/>
    </row>
    <row r="2" spans="1:5" ht="84.6" customHeight="1">
      <c r="A2" s="287" t="s">
        <v>1</v>
      </c>
      <c r="B2" s="287"/>
      <c r="C2" s="288" t="s">
        <v>2</v>
      </c>
      <c r="D2" s="288"/>
    </row>
    <row r="3" spans="1:5" ht="129.9" customHeight="1">
      <c r="A3" s="284" t="s">
        <v>3</v>
      </c>
      <c r="B3" s="286"/>
      <c r="C3" s="284" t="s">
        <v>4</v>
      </c>
      <c r="D3" s="285"/>
    </row>
    <row r="4" spans="1:5" ht="60.9" customHeight="1">
      <c r="A4" s="291" t="s">
        <v>5</v>
      </c>
      <c r="B4" s="291"/>
      <c r="C4" s="2" t="s">
        <v>6</v>
      </c>
      <c r="D4" s="3"/>
    </row>
    <row r="5" spans="1:5" ht="27" customHeight="1">
      <c r="A5" s="292" t="s">
        <v>7</v>
      </c>
      <c r="B5" s="293"/>
      <c r="C5" s="294"/>
      <c r="D5" s="295"/>
    </row>
    <row r="6" spans="1:5" ht="27" customHeight="1">
      <c r="A6" s="296" t="s">
        <v>8</v>
      </c>
      <c r="B6" s="297"/>
      <c r="C6" s="298" t="s">
        <v>9</v>
      </c>
      <c r="D6" s="299"/>
    </row>
    <row r="7" spans="1:5" ht="27" customHeight="1">
      <c r="A7" s="210" t="s">
        <v>10</v>
      </c>
      <c r="B7" s="211"/>
      <c r="C7" s="4" t="s">
        <v>11</v>
      </c>
      <c r="D7" s="5" t="s">
        <v>12</v>
      </c>
    </row>
    <row r="8" spans="1:5" ht="57" customHeight="1">
      <c r="A8" s="6" t="s">
        <v>13</v>
      </c>
      <c r="B8" s="300" t="s">
        <v>14</v>
      </c>
      <c r="C8" s="301"/>
      <c r="D8" s="7" t="s">
        <v>15</v>
      </c>
    </row>
    <row r="9" spans="1:5" ht="27" customHeight="1">
      <c r="A9" s="8" t="s">
        <v>16</v>
      </c>
      <c r="B9" s="302" t="s">
        <v>17</v>
      </c>
      <c r="C9" s="303"/>
      <c r="D9" s="9">
        <f>'Bill Summary'!M22</f>
        <v>0</v>
      </c>
      <c r="E9" s="10"/>
    </row>
    <row r="10" spans="1:5" ht="27" customHeight="1">
      <c r="A10" s="11" t="s">
        <v>18</v>
      </c>
      <c r="B10" s="304" t="s">
        <v>19</v>
      </c>
      <c r="C10" s="305"/>
      <c r="D10" s="12">
        <f>SUM(D9)</f>
        <v>0</v>
      </c>
    </row>
    <row r="11" spans="1:5" ht="27" customHeight="1">
      <c r="A11" s="8" t="s">
        <v>20</v>
      </c>
      <c r="B11" s="302" t="s">
        <v>21</v>
      </c>
      <c r="C11" s="302"/>
      <c r="D11" s="13"/>
    </row>
    <row r="12" spans="1:5" ht="27" customHeight="1">
      <c r="A12" s="14" t="s">
        <v>22</v>
      </c>
      <c r="B12" s="306" t="s">
        <v>23</v>
      </c>
      <c r="C12" s="306"/>
      <c r="D12" s="15">
        <f>'Bill Summary'!G27</f>
        <v>0</v>
      </c>
      <c r="E12" s="10"/>
    </row>
    <row r="13" spans="1:5" ht="27" customHeight="1">
      <c r="A13" s="14" t="s">
        <v>24</v>
      </c>
      <c r="B13" s="307" t="s">
        <v>25</v>
      </c>
      <c r="C13" s="307"/>
      <c r="D13" s="15">
        <f>'Bill Summary'!G21</f>
        <v>0</v>
      </c>
    </row>
    <row r="14" spans="1:5" ht="27" customHeight="1">
      <c r="A14" s="11" t="s">
        <v>26</v>
      </c>
      <c r="B14" s="308" t="s">
        <v>27</v>
      </c>
      <c r="C14" s="309"/>
      <c r="D14" s="12">
        <f>D12+D13</f>
        <v>0</v>
      </c>
    </row>
    <row r="15" spans="1:5" ht="27" customHeight="1">
      <c r="A15" s="16" t="s">
        <v>28</v>
      </c>
      <c r="B15" s="310" t="s">
        <v>29</v>
      </c>
      <c r="C15" s="311"/>
      <c r="D15" s="17">
        <f>'Bill Summary'!M40</f>
        <v>0</v>
      </c>
    </row>
    <row r="16" spans="1:5" ht="55.2" customHeight="1">
      <c r="A16" s="16" t="s">
        <v>30</v>
      </c>
      <c r="B16" s="312" t="s">
        <v>31</v>
      </c>
      <c r="C16" s="313"/>
      <c r="D16" s="17">
        <f>'Bill Summary'!M41</f>
        <v>0</v>
      </c>
    </row>
    <row r="17" spans="1:4" ht="27" customHeight="1">
      <c r="A17" s="18" t="s">
        <v>32</v>
      </c>
      <c r="B17" s="314" t="s">
        <v>33</v>
      </c>
      <c r="C17" s="315"/>
      <c r="D17" s="19">
        <f>D15+D16</f>
        <v>0</v>
      </c>
    </row>
    <row r="18" spans="1:4" ht="27" customHeight="1">
      <c r="A18" s="20" t="s">
        <v>34</v>
      </c>
      <c r="B18" s="303" t="s">
        <v>35</v>
      </c>
      <c r="C18" s="303"/>
      <c r="D18" s="21">
        <f>D10+D14-D17</f>
        <v>0</v>
      </c>
    </row>
    <row r="19" spans="1:4" ht="55.2" customHeight="1">
      <c r="A19" s="22" t="s">
        <v>36</v>
      </c>
      <c r="B19" s="316" t="s">
        <v>37</v>
      </c>
      <c r="C19" s="316"/>
      <c r="D19" s="23">
        <f>C53</f>
        <v>0</v>
      </c>
    </row>
    <row r="20" spans="1:4" ht="27" customHeight="1">
      <c r="A20" s="11" t="s">
        <v>38</v>
      </c>
      <c r="B20" s="317" t="s">
        <v>39</v>
      </c>
      <c r="C20" s="317"/>
      <c r="D20" s="12">
        <f>D18-D19</f>
        <v>0</v>
      </c>
    </row>
    <row r="21" spans="1:4" ht="97.2" customHeight="1">
      <c r="A21" s="24" t="s">
        <v>40</v>
      </c>
      <c r="B21" s="318" t="s">
        <v>40</v>
      </c>
      <c r="C21" s="319"/>
      <c r="D21" s="24" t="s">
        <v>40</v>
      </c>
    </row>
    <row r="22" spans="1:4" ht="63" customHeight="1">
      <c r="A22" s="25" t="s">
        <v>41</v>
      </c>
      <c r="B22" s="320" t="s">
        <v>42</v>
      </c>
      <c r="C22" s="320"/>
      <c r="D22" s="26" t="s">
        <v>43</v>
      </c>
    </row>
    <row r="23" spans="1:4" ht="24.9" customHeight="1">
      <c r="C23" s="27"/>
    </row>
    <row r="24" spans="1:4" ht="19.2" customHeight="1">
      <c r="C24" s="28"/>
    </row>
    <row r="25" spans="1:4" ht="19.2" customHeight="1">
      <c r="B25" s="29"/>
      <c r="C25" s="30"/>
    </row>
    <row r="26" spans="1:4" ht="19.2" customHeight="1">
      <c r="B26" s="29"/>
      <c r="C26" s="30"/>
    </row>
    <row r="27" spans="1:4" ht="19.2" customHeight="1">
      <c r="B27" s="29"/>
      <c r="C27" s="30"/>
    </row>
    <row r="28" spans="1:4" ht="19.2" customHeight="1">
      <c r="B28" s="29"/>
      <c r="C28" s="30"/>
    </row>
    <row r="29" spans="1:4" ht="19.2" customHeight="1">
      <c r="B29" s="29"/>
      <c r="C29" s="30"/>
    </row>
    <row r="30" spans="1:4" ht="19.2" customHeight="1">
      <c r="B30" s="29"/>
      <c r="C30" s="30"/>
    </row>
    <row r="31" spans="1:4" ht="19.2" customHeight="1">
      <c r="B31" s="29"/>
      <c r="C31" s="30"/>
    </row>
    <row r="32" spans="1:4" ht="19.2" customHeight="1">
      <c r="B32" s="29"/>
      <c r="C32" s="30"/>
    </row>
    <row r="33" spans="2:3" ht="19.2" customHeight="1">
      <c r="B33" s="29"/>
      <c r="C33" s="30"/>
    </row>
    <row r="34" spans="2:3" ht="19.2" customHeight="1">
      <c r="B34" s="29"/>
      <c r="C34" s="30"/>
    </row>
    <row r="35" spans="2:3" ht="19.2" customHeight="1">
      <c r="B35" s="29"/>
      <c r="C35" s="30"/>
    </row>
    <row r="36" spans="2:3" ht="19.2" customHeight="1">
      <c r="B36" s="29"/>
      <c r="C36" s="30"/>
    </row>
    <row r="37" spans="2:3" ht="19.2" customHeight="1">
      <c r="B37" s="29"/>
      <c r="C37" s="30"/>
    </row>
    <row r="38" spans="2:3" ht="19.2" customHeight="1">
      <c r="B38" s="29"/>
      <c r="C38" s="30"/>
    </row>
    <row r="39" spans="2:3" ht="19.2" customHeight="1">
      <c r="B39" s="29"/>
      <c r="C39" s="30"/>
    </row>
    <row r="40" spans="2:3" ht="19.2" customHeight="1">
      <c r="B40" s="29"/>
      <c r="C40" s="30"/>
    </row>
    <row r="41" spans="2:3" ht="19.2" customHeight="1">
      <c r="B41" s="29"/>
      <c r="C41" s="30"/>
    </row>
    <row r="42" spans="2:3" ht="19.2" customHeight="1">
      <c r="B42" s="29"/>
      <c r="C42" s="30"/>
    </row>
    <row r="43" spans="2:3" ht="19.2" customHeight="1">
      <c r="B43" s="29"/>
      <c r="C43" s="30"/>
    </row>
    <row r="44" spans="2:3" ht="19.2" customHeight="1">
      <c r="B44" s="29"/>
      <c r="C44" s="30"/>
    </row>
    <row r="45" spans="2:3" ht="19.2" customHeight="1">
      <c r="B45" s="29"/>
      <c r="C45" s="30"/>
    </row>
    <row r="46" spans="2:3" ht="19.2" customHeight="1">
      <c r="B46" s="29"/>
      <c r="C46" s="30"/>
    </row>
    <row r="47" spans="2:3" ht="19.2" customHeight="1">
      <c r="B47" s="29"/>
      <c r="C47" s="30"/>
    </row>
    <row r="48" spans="2:3" ht="19.2" customHeight="1">
      <c r="B48" s="29"/>
      <c r="C48" s="30"/>
    </row>
    <row r="49" spans="2:3" ht="19.2" customHeight="1">
      <c r="B49" s="29"/>
      <c r="C49" s="30"/>
    </row>
    <row r="50" spans="2:3" ht="19.2" customHeight="1">
      <c r="B50" s="29"/>
      <c r="C50" s="30"/>
    </row>
    <row r="51" spans="2:3" ht="19.2" customHeight="1">
      <c r="B51" s="29"/>
      <c r="C51" s="30"/>
    </row>
    <row r="52" spans="2:3" ht="19.2" customHeight="1">
      <c r="C52" s="30"/>
    </row>
    <row r="53" spans="2:3" ht="19.2" customHeight="1">
      <c r="B53" s="31"/>
      <c r="C53" s="30"/>
    </row>
    <row r="54" spans="2:3" ht="19.2" customHeight="1">
      <c r="C54" s="30"/>
    </row>
    <row r="55" spans="2:3" ht="19.2" customHeight="1">
      <c r="C55" s="30"/>
    </row>
    <row r="56" spans="2:3" ht="19.2" customHeight="1">
      <c r="C56" s="30"/>
    </row>
    <row r="57" spans="2:3" ht="19.2" customHeight="1">
      <c r="C57" s="30"/>
    </row>
    <row r="58" spans="2:3" ht="19.2" customHeight="1">
      <c r="C58" s="30"/>
    </row>
    <row r="59" spans="2:3" ht="16.8">
      <c r="C59" s="30"/>
    </row>
    <row r="60" spans="2:3" ht="16.8">
      <c r="C60" s="30"/>
    </row>
    <row r="61" spans="2:3" ht="16.8">
      <c r="C61" s="30"/>
    </row>
    <row r="62" spans="2:3" ht="16.8">
      <c r="C62" s="30"/>
    </row>
    <row r="63" spans="2:3" ht="16.8">
      <c r="C63" s="30"/>
    </row>
    <row r="64" spans="2:3" ht="16.8">
      <c r="C64" s="30"/>
    </row>
  </sheetData>
  <mergeCells count="1">
    <mergeCell ref="A7:B7"/>
  </mergeCells>
  <printOptions horizontalCentered="1"/>
  <pageMargins left="0.43263888888888902" right="0.118055555555556" top="0.55000000000000004" bottom="0.59027777777777801" header="0.31388888888888899" footer="0.31388888888888899"/>
  <pageSetup paperSize="9" scale="5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53"/>
  <sheetViews>
    <sheetView view="pageBreakPreview" zoomScale="85" zoomScaleNormal="40" zoomScaleSheetLayoutView="85" workbookViewId="0">
      <pane ySplit="8" topLeftCell="A28" activePane="bottomLeft" state="frozen"/>
      <selection activeCell="D18" sqref="D18"/>
      <selection pane="bottomLeft" activeCell="C43" sqref="C43"/>
    </sheetView>
  </sheetViews>
  <sheetFormatPr defaultColWidth="9.109375" defaultRowHeight="14.4"/>
  <cols>
    <col min="1" max="1" width="7.88671875" style="1" customWidth="1"/>
    <col min="2" max="2" width="44.88671875" style="1" customWidth="1"/>
    <col min="3" max="3" width="47.88671875" style="1" customWidth="1"/>
    <col min="4" max="7" width="13.44140625" style="1" customWidth="1"/>
    <col min="8" max="8" width="9.6640625" style="1" customWidth="1"/>
    <col min="9" max="9" width="13.33203125" style="1" customWidth="1"/>
    <col min="10" max="10" width="9.6640625" style="1" customWidth="1"/>
    <col min="11" max="13" width="13.44140625" style="1" customWidth="1"/>
    <col min="14" max="14" width="9.6640625" style="1" customWidth="1"/>
    <col min="15" max="15" width="13.44140625" style="1" customWidth="1"/>
    <col min="16" max="16" width="9.6640625" style="1" customWidth="1"/>
    <col min="17" max="17" width="12.88671875" style="1" customWidth="1"/>
    <col min="18" max="16384" width="9.109375" style="1"/>
  </cols>
  <sheetData>
    <row r="1" spans="1:30" ht="33" customHeight="1">
      <c r="A1" s="32"/>
      <c r="B1" s="322" t="s">
        <v>44</v>
      </c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3"/>
      <c r="Q1" s="34"/>
      <c r="R1" s="35"/>
      <c r="S1" s="35"/>
      <c r="T1" s="35"/>
      <c r="U1" s="35"/>
      <c r="V1" s="35"/>
      <c r="W1" s="35"/>
      <c r="X1" s="35"/>
      <c r="Y1" s="35"/>
      <c r="Z1" s="35"/>
      <c r="AA1" s="36"/>
      <c r="AB1" s="36"/>
      <c r="AC1" s="36"/>
      <c r="AD1" s="36"/>
    </row>
    <row r="2" spans="1:30" ht="55.95" customHeight="1">
      <c r="A2" s="32"/>
      <c r="B2" s="323" t="s">
        <v>45</v>
      </c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7"/>
      <c r="Q2" s="38"/>
      <c r="R2" s="39"/>
      <c r="S2" s="39"/>
      <c r="T2" s="39"/>
      <c r="U2" s="39"/>
      <c r="V2" s="39"/>
      <c r="W2" s="39"/>
      <c r="X2" s="39"/>
      <c r="Y2" s="39"/>
      <c r="Z2" s="39"/>
      <c r="AA2" s="36"/>
      <c r="AB2" s="36"/>
      <c r="AC2" s="36"/>
      <c r="AD2" s="36"/>
    </row>
    <row r="3" spans="1:30" ht="27.9" customHeight="1">
      <c r="A3" s="32"/>
      <c r="B3" s="324" t="s">
        <v>46</v>
      </c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7"/>
      <c r="Q3" s="38"/>
      <c r="R3" s="39"/>
      <c r="S3" s="39"/>
      <c r="T3" s="39"/>
      <c r="U3" s="39"/>
      <c r="V3" s="39"/>
      <c r="W3" s="39"/>
      <c r="X3" s="39"/>
      <c r="Y3" s="39"/>
      <c r="Z3" s="39"/>
      <c r="AA3" s="36"/>
      <c r="AB3" s="36"/>
      <c r="AC3" s="36"/>
      <c r="AD3" s="36"/>
    </row>
    <row r="4" spans="1:30" ht="27.75" customHeight="1">
      <c r="A4" s="32"/>
      <c r="B4" s="325" t="s">
        <v>47</v>
      </c>
      <c r="C4" s="325"/>
      <c r="J4" s="326" t="s">
        <v>48</v>
      </c>
      <c r="K4" s="326"/>
      <c r="L4" s="326"/>
      <c r="M4" s="326"/>
      <c r="N4" s="327" t="str">
        <f>'Cover of IPC '!D7</f>
        <v>DD.MM.YYYY - DD.MM.YYYY</v>
      </c>
      <c r="O4" s="327"/>
      <c r="P4" s="327"/>
      <c r="Q4" s="40"/>
      <c r="R4" s="41"/>
      <c r="S4" s="41"/>
      <c r="T4" s="41"/>
      <c r="U4" s="41"/>
      <c r="V4" s="41"/>
      <c r="W4" s="41"/>
      <c r="X4" s="41"/>
      <c r="Y4" s="41"/>
      <c r="Z4" s="36"/>
      <c r="AA4" s="36"/>
      <c r="AB4" s="36"/>
      <c r="AC4" s="36"/>
      <c r="AD4" s="36"/>
    </row>
    <row r="5" spans="1:30" ht="22.95" customHeight="1">
      <c r="A5" s="42"/>
      <c r="B5" s="42"/>
      <c r="C5" s="42"/>
      <c r="D5" s="42"/>
      <c r="E5" s="328" t="s">
        <v>49</v>
      </c>
      <c r="F5" s="328"/>
      <c r="G5" s="328"/>
      <c r="H5" s="328"/>
      <c r="I5" s="328"/>
      <c r="J5" s="328"/>
      <c r="K5" s="329" t="s">
        <v>50</v>
      </c>
      <c r="L5" s="329"/>
      <c r="M5" s="329"/>
      <c r="N5" s="329"/>
      <c r="O5" s="329"/>
      <c r="P5" s="329"/>
      <c r="Q5" s="43"/>
      <c r="R5" s="43"/>
      <c r="S5" s="43"/>
      <c r="T5" s="43"/>
      <c r="U5" s="43"/>
      <c r="V5" s="43"/>
      <c r="W5" s="43"/>
      <c r="X5" s="43"/>
      <c r="Y5" s="43"/>
      <c r="Z5" s="36"/>
      <c r="AA5" s="36"/>
      <c r="AB5" s="36"/>
      <c r="AC5" s="36"/>
      <c r="AD5" s="36"/>
    </row>
    <row r="6" spans="1:30" ht="22.95" customHeight="1">
      <c r="A6" s="216" t="s">
        <v>51</v>
      </c>
      <c r="B6" s="217" t="s">
        <v>52</v>
      </c>
      <c r="C6" s="218"/>
      <c r="D6" s="219" t="s">
        <v>53</v>
      </c>
      <c r="E6" s="328" t="s">
        <v>54</v>
      </c>
      <c r="F6" s="328"/>
      <c r="G6" s="328"/>
      <c r="H6" s="328"/>
      <c r="I6" s="328" t="s">
        <v>55</v>
      </c>
      <c r="J6" s="328"/>
      <c r="K6" s="329" t="s">
        <v>54</v>
      </c>
      <c r="L6" s="329"/>
      <c r="M6" s="329"/>
      <c r="N6" s="329"/>
      <c r="O6" s="329" t="s">
        <v>55</v>
      </c>
      <c r="P6" s="329"/>
    </row>
    <row r="7" spans="1:30" ht="41.25" customHeight="1">
      <c r="A7" s="216"/>
      <c r="B7" s="217"/>
      <c r="C7" s="218"/>
      <c r="D7" s="219"/>
      <c r="E7" s="200" t="s">
        <v>56</v>
      </c>
      <c r="F7" s="200" t="s">
        <v>57</v>
      </c>
      <c r="G7" s="200" t="s">
        <v>58</v>
      </c>
      <c r="H7" s="200" t="s">
        <v>59</v>
      </c>
      <c r="I7" s="200" t="s">
        <v>60</v>
      </c>
      <c r="J7" s="200" t="s">
        <v>61</v>
      </c>
      <c r="K7" s="44" t="s">
        <v>56</v>
      </c>
      <c r="L7" s="44" t="s">
        <v>57</v>
      </c>
      <c r="M7" s="44" t="s">
        <v>58</v>
      </c>
      <c r="N7" s="44" t="s">
        <v>59</v>
      </c>
      <c r="O7" s="44" t="s">
        <v>60</v>
      </c>
      <c r="P7" s="44" t="s">
        <v>61</v>
      </c>
    </row>
    <row r="8" spans="1:30" ht="19.95" customHeight="1">
      <c r="A8" s="216"/>
      <c r="B8" s="217"/>
      <c r="C8" s="218"/>
      <c r="D8" s="45" t="s">
        <v>62</v>
      </c>
      <c r="E8" s="200" t="s">
        <v>62</v>
      </c>
      <c r="F8" s="200" t="s">
        <v>62</v>
      </c>
      <c r="G8" s="200" t="s">
        <v>62</v>
      </c>
      <c r="H8" s="200" t="s">
        <v>63</v>
      </c>
      <c r="I8" s="200" t="s">
        <v>62</v>
      </c>
      <c r="J8" s="200" t="s">
        <v>63</v>
      </c>
      <c r="K8" s="44" t="s">
        <v>62</v>
      </c>
      <c r="L8" s="44" t="s">
        <v>62</v>
      </c>
      <c r="M8" s="44" t="s">
        <v>62</v>
      </c>
      <c r="N8" s="44" t="s">
        <v>63</v>
      </c>
      <c r="O8" s="44" t="s">
        <v>62</v>
      </c>
      <c r="P8" s="44" t="s">
        <v>63</v>
      </c>
    </row>
    <row r="9" spans="1:30" ht="21" customHeight="1">
      <c r="A9" s="46"/>
      <c r="B9" s="47"/>
      <c r="C9" s="48"/>
      <c r="D9" s="49"/>
      <c r="E9" s="214" t="s">
        <v>64</v>
      </c>
      <c r="F9" s="214"/>
      <c r="G9" s="214"/>
      <c r="H9" s="214"/>
      <c r="I9" s="214"/>
      <c r="J9" s="214"/>
      <c r="K9" s="215" t="s">
        <v>65</v>
      </c>
      <c r="L9" s="215"/>
      <c r="M9" s="215"/>
      <c r="N9" s="215"/>
      <c r="O9" s="215"/>
      <c r="P9" s="215"/>
    </row>
    <row r="10" spans="1:30" ht="21" customHeight="1">
      <c r="A10" s="216" t="s">
        <v>66</v>
      </c>
      <c r="B10" s="217" t="s">
        <v>52</v>
      </c>
      <c r="C10" s="218"/>
      <c r="D10" s="219" t="s">
        <v>67</v>
      </c>
      <c r="E10" s="214" t="s">
        <v>68</v>
      </c>
      <c r="F10" s="214"/>
      <c r="G10" s="214"/>
      <c r="H10" s="214"/>
      <c r="I10" s="214" t="s">
        <v>69</v>
      </c>
      <c r="J10" s="214"/>
      <c r="K10" s="215" t="s">
        <v>68</v>
      </c>
      <c r="L10" s="215"/>
      <c r="M10" s="215"/>
      <c r="N10" s="215"/>
      <c r="O10" s="215" t="s">
        <v>69</v>
      </c>
      <c r="P10" s="215"/>
    </row>
    <row r="11" spans="1:30" ht="51" customHeight="1">
      <c r="A11" s="216"/>
      <c r="B11" s="217"/>
      <c r="C11" s="218"/>
      <c r="D11" s="219"/>
      <c r="E11" s="200" t="s">
        <v>70</v>
      </c>
      <c r="F11" s="200" t="s">
        <v>71</v>
      </c>
      <c r="G11" s="200" t="s">
        <v>72</v>
      </c>
      <c r="H11" s="200" t="s">
        <v>73</v>
      </c>
      <c r="I11" s="200" t="s">
        <v>74</v>
      </c>
      <c r="J11" s="200" t="s">
        <v>61</v>
      </c>
      <c r="K11" s="44" t="s">
        <v>70</v>
      </c>
      <c r="L11" s="44" t="s">
        <v>71</v>
      </c>
      <c r="M11" s="44" t="s">
        <v>72</v>
      </c>
      <c r="N11" s="44" t="s">
        <v>73</v>
      </c>
      <c r="O11" s="44" t="s">
        <v>74</v>
      </c>
      <c r="P11" s="44" t="s">
        <v>61</v>
      </c>
    </row>
    <row r="12" spans="1:30" ht="18" customHeight="1">
      <c r="A12" s="216"/>
      <c r="B12" s="217"/>
      <c r="C12" s="218"/>
      <c r="D12" s="45" t="s">
        <v>62</v>
      </c>
      <c r="E12" s="200" t="s">
        <v>62</v>
      </c>
      <c r="F12" s="200" t="s">
        <v>62</v>
      </c>
      <c r="G12" s="200" t="s">
        <v>62</v>
      </c>
      <c r="H12" s="200" t="s">
        <v>63</v>
      </c>
      <c r="I12" s="200" t="s">
        <v>62</v>
      </c>
      <c r="J12" s="200" t="s">
        <v>62</v>
      </c>
      <c r="K12" s="44" t="s">
        <v>62</v>
      </c>
      <c r="L12" s="44" t="s">
        <v>62</v>
      </c>
      <c r="M12" s="44" t="s">
        <v>62</v>
      </c>
      <c r="N12" s="44" t="s">
        <v>63</v>
      </c>
      <c r="O12" s="44" t="s">
        <v>62</v>
      </c>
      <c r="P12" s="44" t="s">
        <v>62</v>
      </c>
    </row>
    <row r="13" spans="1:30" ht="18" customHeight="1">
      <c r="A13" s="50"/>
      <c r="B13" s="51" t="s">
        <v>75</v>
      </c>
      <c r="C13" s="51" t="s">
        <v>76</v>
      </c>
      <c r="D13" s="52"/>
      <c r="E13" s="201"/>
      <c r="F13" s="201"/>
      <c r="G13" s="201"/>
      <c r="H13" s="201"/>
      <c r="I13" s="201"/>
      <c r="J13" s="201"/>
      <c r="K13" s="53"/>
      <c r="L13" s="53"/>
      <c r="M13" s="53"/>
      <c r="N13" s="54"/>
      <c r="O13" s="53"/>
      <c r="P13" s="54"/>
    </row>
    <row r="14" spans="1:30" ht="25.8" customHeight="1">
      <c r="A14" s="55"/>
      <c r="B14" s="56" t="s">
        <v>77</v>
      </c>
      <c r="C14" s="56" t="s">
        <v>78</v>
      </c>
      <c r="D14" s="57"/>
      <c r="E14" s="221" t="s">
        <v>79</v>
      </c>
      <c r="F14" s="221"/>
      <c r="G14" s="221"/>
      <c r="H14" s="221"/>
      <c r="I14" s="221"/>
      <c r="J14" s="221"/>
      <c r="K14" s="222" t="s">
        <v>80</v>
      </c>
      <c r="L14" s="222"/>
      <c r="M14" s="222"/>
      <c r="N14" s="222"/>
      <c r="O14" s="222"/>
      <c r="P14" s="222"/>
    </row>
    <row r="15" spans="1:30" ht="34.5" customHeight="1">
      <c r="A15" s="58">
        <v>1</v>
      </c>
      <c r="B15" s="59" t="s">
        <v>81</v>
      </c>
      <c r="C15" s="60" t="s">
        <v>82</v>
      </c>
      <c r="D15" s="223">
        <f>'Sch1. (A)'!F19</f>
        <v>0</v>
      </c>
      <c r="E15" s="202">
        <f>'Sch1. (A)'!K19</f>
        <v>0</v>
      </c>
      <c r="F15" s="202">
        <f>G15-E15</f>
        <v>0</v>
      </c>
      <c r="G15" s="202">
        <f>'Sch1. (A)'!U19</f>
        <v>0</v>
      </c>
      <c r="H15" s="224" t="e">
        <f>(G15)/(D15*0.7)</f>
        <v>#DIV/0!</v>
      </c>
      <c r="I15" s="225">
        <f>+D15*0.7-(G15)</f>
        <v>0</v>
      </c>
      <c r="J15" s="224" t="e">
        <f>+I15/(D15*0.7)</f>
        <v>#DIV/0!</v>
      </c>
      <c r="K15" s="61">
        <f>'Sch1.  (B)'!K19</f>
        <v>0</v>
      </c>
      <c r="L15" s="61">
        <f>M15-K15</f>
        <v>0</v>
      </c>
      <c r="M15" s="62">
        <f>'Sch1.  (B)'!U19</f>
        <v>0</v>
      </c>
      <c r="N15" s="63" t="e">
        <f>M15/D15</f>
        <v>#DIV/0!</v>
      </c>
      <c r="O15" s="226">
        <f>D15-M15</f>
        <v>0</v>
      </c>
      <c r="P15" s="63" t="e">
        <f>O15/D15</f>
        <v>#DIV/0!</v>
      </c>
      <c r="Q15" s="220"/>
      <c r="R15" s="64"/>
    </row>
    <row r="16" spans="1:30" ht="30" customHeight="1">
      <c r="A16" s="58">
        <v>2</v>
      </c>
      <c r="B16" s="59" t="s">
        <v>83</v>
      </c>
      <c r="C16" s="60" t="s">
        <v>84</v>
      </c>
      <c r="D16" s="223"/>
      <c r="E16" s="202">
        <f>'[18]Schedule 2. Supply of Plant EXW'!H689</f>
        <v>0</v>
      </c>
      <c r="F16" s="202">
        <f>G16-E16</f>
        <v>0</v>
      </c>
      <c r="G16" s="202">
        <f>'[18]Schedule 2. Supply of Plant EXW'!L689</f>
        <v>0</v>
      </c>
      <c r="H16" s="224"/>
      <c r="I16" s="225"/>
      <c r="J16" s="224"/>
      <c r="K16" s="65"/>
      <c r="L16" s="66"/>
      <c r="M16" s="53"/>
      <c r="N16" s="67"/>
      <c r="O16" s="226"/>
      <c r="P16" s="63" t="e">
        <f t="shared" ref="P16:P22" si="0">O16/D16</f>
        <v>#DIV/0!</v>
      </c>
      <c r="Q16" s="220"/>
      <c r="R16" s="64"/>
    </row>
    <row r="17" spans="1:18" ht="22.95" customHeight="1">
      <c r="A17" s="58">
        <v>3</v>
      </c>
      <c r="B17" s="59" t="s">
        <v>85</v>
      </c>
      <c r="C17" s="60" t="s">
        <v>86</v>
      </c>
      <c r="D17" s="68">
        <f>'Sch3. (A)'!F20</f>
        <v>0</v>
      </c>
      <c r="E17" s="202">
        <f>'Sch3. (A)'!H20</f>
        <v>0</v>
      </c>
      <c r="F17" s="202">
        <f>G17-E17</f>
        <v>0</v>
      </c>
      <c r="G17" s="202">
        <f>'Sch3. (A)'!L20</f>
        <v>0</v>
      </c>
      <c r="H17" s="203" t="e">
        <f>G17/(D17*0.8)</f>
        <v>#DIV/0!</v>
      </c>
      <c r="I17" s="202">
        <f>+D17*0.8-G17</f>
        <v>0</v>
      </c>
      <c r="J17" s="203" t="e">
        <f>+I17/(D17*0.8)</f>
        <v>#DIV/0!</v>
      </c>
      <c r="K17" s="61">
        <f>'Sch3. (B)'!H20</f>
        <v>0</v>
      </c>
      <c r="L17" s="61">
        <f>M17-K17</f>
        <v>0</v>
      </c>
      <c r="M17" s="62">
        <f>'Sch3. (B)'!L20</f>
        <v>0</v>
      </c>
      <c r="N17" s="63" t="e">
        <f t="shared" ref="N17:N22" si="1">M17/D17</f>
        <v>#DIV/0!</v>
      </c>
      <c r="O17" s="61">
        <f t="shared" ref="O17:O22" si="2">D17-M17</f>
        <v>0</v>
      </c>
      <c r="P17" s="63" t="e">
        <f t="shared" si="0"/>
        <v>#DIV/0!</v>
      </c>
      <c r="Q17" s="69"/>
      <c r="R17" s="64"/>
    </row>
    <row r="18" spans="1:18" ht="34.950000000000003" customHeight="1">
      <c r="A18" s="58">
        <v>4</v>
      </c>
      <c r="B18" s="59" t="s">
        <v>87</v>
      </c>
      <c r="C18" s="60" t="s">
        <v>88</v>
      </c>
      <c r="D18" s="68">
        <f>'Sch4. (B)'!F33</f>
        <v>0</v>
      </c>
      <c r="E18" s="202">
        <f>'Sch4. (A)'!H33</f>
        <v>0</v>
      </c>
      <c r="F18" s="202">
        <f>G18-E18</f>
        <v>0</v>
      </c>
      <c r="G18" s="202">
        <f>'Sch4. (A)'!L33</f>
        <v>0</v>
      </c>
      <c r="H18" s="203" t="e">
        <f>G18/(D18*0.7)</f>
        <v>#DIV/0!</v>
      </c>
      <c r="I18" s="202">
        <f>+D18*0.7-G18</f>
        <v>0</v>
      </c>
      <c r="J18" s="203" t="e">
        <f>+I18/(D18*0.7)</f>
        <v>#DIV/0!</v>
      </c>
      <c r="K18" s="61">
        <f>'Sch4. (B)'!H33</f>
        <v>0</v>
      </c>
      <c r="L18" s="61">
        <f>M18-K18</f>
        <v>0</v>
      </c>
      <c r="M18" s="62">
        <f>'Sch4. (B)'!L33</f>
        <v>0</v>
      </c>
      <c r="N18" s="63" t="e">
        <f t="shared" si="1"/>
        <v>#DIV/0!</v>
      </c>
      <c r="O18" s="61">
        <f t="shared" si="2"/>
        <v>0</v>
      </c>
      <c r="P18" s="63" t="e">
        <f t="shared" si="0"/>
        <v>#DIV/0!</v>
      </c>
      <c r="Q18" s="69"/>
      <c r="R18" s="64"/>
    </row>
    <row r="19" spans="1:18" ht="22.95" customHeight="1">
      <c r="A19" s="58">
        <v>5</v>
      </c>
      <c r="B19" s="59" t="s">
        <v>89</v>
      </c>
      <c r="C19" s="60" t="s">
        <v>90</v>
      </c>
      <c r="D19" s="68">
        <f>Dayworks!F19</f>
        <v>0</v>
      </c>
      <c r="E19" s="202">
        <f>Dayworks!H19</f>
        <v>0</v>
      </c>
      <c r="F19" s="202">
        <f>G19-E19</f>
        <v>0</v>
      </c>
      <c r="G19" s="202">
        <v>0</v>
      </c>
      <c r="H19" s="203" t="e">
        <f>+G19/D19</f>
        <v>#DIV/0!</v>
      </c>
      <c r="I19" s="202">
        <f>+D19-G19</f>
        <v>0</v>
      </c>
      <c r="J19" s="203" t="e">
        <f>+I19/D19</f>
        <v>#DIV/0!</v>
      </c>
      <c r="K19" s="61">
        <f>Dayworks!H19</f>
        <v>0</v>
      </c>
      <c r="L19" s="61">
        <f>M19-K19</f>
        <v>0</v>
      </c>
      <c r="M19" s="62">
        <f>Dayworks!L19</f>
        <v>0</v>
      </c>
      <c r="N19" s="63" t="e">
        <f t="shared" si="1"/>
        <v>#DIV/0!</v>
      </c>
      <c r="O19" s="61">
        <f t="shared" si="2"/>
        <v>0</v>
      </c>
      <c r="P19" s="63" t="e">
        <f t="shared" si="0"/>
        <v>#DIV/0!</v>
      </c>
      <c r="Q19" s="69"/>
      <c r="R19" s="64"/>
    </row>
    <row r="20" spans="1:18" ht="22.95" customHeight="1">
      <c r="A20" s="70"/>
      <c r="B20" s="71" t="s">
        <v>91</v>
      </c>
      <c r="C20" s="51" t="s">
        <v>92</v>
      </c>
      <c r="D20" s="72">
        <f>SUM(D15:D19)</f>
        <v>0</v>
      </c>
      <c r="E20" s="204">
        <f>SUM(E15:E19)</f>
        <v>0</v>
      </c>
      <c r="F20" s="204">
        <f>SUM(F15:F19)</f>
        <v>0</v>
      </c>
      <c r="G20" s="204">
        <f>SUM(G15:G19)</f>
        <v>0</v>
      </c>
      <c r="H20" s="205" t="e">
        <f>+G20/(D20*Q20)</f>
        <v>#DIV/0!</v>
      </c>
      <c r="I20" s="204">
        <f>SUM(I15:I19)</f>
        <v>0</v>
      </c>
      <c r="J20" s="205" t="e">
        <f>+I20/(D20*Q20)</f>
        <v>#DIV/0!</v>
      </c>
      <c r="K20" s="73">
        <f>SUM(K15:K19)</f>
        <v>0</v>
      </c>
      <c r="L20" s="73">
        <f>SUM(L15:L19)</f>
        <v>0</v>
      </c>
      <c r="M20" s="73">
        <f>SUM(M15:M19)</f>
        <v>0</v>
      </c>
      <c r="N20" s="74" t="e">
        <f t="shared" si="1"/>
        <v>#DIV/0!</v>
      </c>
      <c r="O20" s="75">
        <f t="shared" si="2"/>
        <v>0</v>
      </c>
      <c r="P20" s="63" t="e">
        <f t="shared" si="0"/>
        <v>#DIV/0!</v>
      </c>
      <c r="Q20" s="76">
        <v>0.702917896320439</v>
      </c>
      <c r="R20" s="64"/>
    </row>
    <row r="21" spans="1:18" ht="55.2" customHeight="1">
      <c r="A21" s="70"/>
      <c r="B21" s="77" t="s">
        <v>93</v>
      </c>
      <c r="C21" s="56" t="s">
        <v>94</v>
      </c>
      <c r="D21" s="78"/>
      <c r="E21" s="202">
        <v>0</v>
      </c>
      <c r="F21" s="202">
        <f>G21-E21</f>
        <v>0</v>
      </c>
      <c r="G21" s="202">
        <v>0</v>
      </c>
      <c r="H21" s="203" t="e">
        <f>G21/D21</f>
        <v>#DIV/0!</v>
      </c>
      <c r="I21" s="202">
        <f>D21-G21</f>
        <v>0</v>
      </c>
      <c r="J21" s="203" t="e">
        <f>I21/D21</f>
        <v>#DIV/0!</v>
      </c>
      <c r="K21" s="62">
        <f>E21</f>
        <v>0</v>
      </c>
      <c r="L21" s="62">
        <f>M21-K21</f>
        <v>0</v>
      </c>
      <c r="M21" s="62">
        <f>G21</f>
        <v>0</v>
      </c>
      <c r="N21" s="63" t="e">
        <f t="shared" si="1"/>
        <v>#DIV/0!</v>
      </c>
      <c r="O21" s="62">
        <f t="shared" si="2"/>
        <v>0</v>
      </c>
      <c r="P21" s="63" t="e">
        <f t="shared" si="0"/>
        <v>#DIV/0!</v>
      </c>
      <c r="Q21" s="69"/>
      <c r="R21" s="64"/>
    </row>
    <row r="22" spans="1:18" ht="22.95" customHeight="1">
      <c r="A22" s="70"/>
      <c r="B22" s="71" t="s">
        <v>95</v>
      </c>
      <c r="C22" s="51" t="s">
        <v>96</v>
      </c>
      <c r="D22" s="68">
        <f>D20+D21</f>
        <v>0</v>
      </c>
      <c r="E22" s="202">
        <f>E20+E21</f>
        <v>0</v>
      </c>
      <c r="F22" s="202">
        <f>F20+F21</f>
        <v>0</v>
      </c>
      <c r="G22" s="202">
        <f>G20+G21</f>
        <v>0</v>
      </c>
      <c r="H22" s="203" t="e">
        <f>G22/(D22*Q22)</f>
        <v>#DIV/0!</v>
      </c>
      <c r="I22" s="202">
        <f>I21+I20</f>
        <v>0</v>
      </c>
      <c r="J22" s="203" t="e">
        <f>I22/(D22*Q22)</f>
        <v>#DIV/0!</v>
      </c>
      <c r="K22" s="62">
        <f>K20+K21</f>
        <v>0</v>
      </c>
      <c r="L22" s="62">
        <f>L20+L21</f>
        <v>0</v>
      </c>
      <c r="M22" s="62">
        <f>M20+M21</f>
        <v>0</v>
      </c>
      <c r="N22" s="63" t="e">
        <f t="shared" si="1"/>
        <v>#DIV/0!</v>
      </c>
      <c r="O22" s="62">
        <f t="shared" si="2"/>
        <v>0</v>
      </c>
      <c r="P22" s="63" t="e">
        <f t="shared" si="0"/>
        <v>#DIV/0!</v>
      </c>
      <c r="Q22" s="79">
        <v>0.73139350093187006</v>
      </c>
      <c r="R22" s="80"/>
    </row>
    <row r="23" spans="1:18" ht="22.95" customHeight="1">
      <c r="A23" s="70"/>
      <c r="B23" s="77" t="s">
        <v>97</v>
      </c>
      <c r="C23" s="56" t="s">
        <v>98</v>
      </c>
      <c r="D23" s="78"/>
      <c r="E23" s="202"/>
      <c r="F23" s="202"/>
      <c r="G23" s="202"/>
      <c r="H23" s="206"/>
      <c r="I23" s="202"/>
      <c r="J23" s="206"/>
      <c r="K23" s="65"/>
      <c r="L23" s="65"/>
      <c r="M23" s="53"/>
      <c r="N23" s="67"/>
      <c r="O23" s="53"/>
      <c r="P23" s="67"/>
    </row>
    <row r="24" spans="1:18" ht="22.95" customHeight="1">
      <c r="A24" s="58">
        <v>1</v>
      </c>
      <c r="B24" s="59" t="s">
        <v>99</v>
      </c>
      <c r="C24" s="60" t="s">
        <v>82</v>
      </c>
      <c r="D24" s="78"/>
      <c r="E24" s="202">
        <f>D15*0.2</f>
        <v>0</v>
      </c>
      <c r="F24" s="202">
        <f>G24-E24</f>
        <v>0</v>
      </c>
      <c r="G24" s="202">
        <f>D15*0.2</f>
        <v>0</v>
      </c>
      <c r="H24" s="206"/>
      <c r="I24" s="202"/>
      <c r="J24" s="206"/>
      <c r="K24" s="61">
        <f>E24</f>
        <v>0</v>
      </c>
      <c r="L24" s="61">
        <f t="shared" ref="L24:M26" si="3">F24</f>
        <v>0</v>
      </c>
      <c r="M24" s="61">
        <f t="shared" si="3"/>
        <v>0</v>
      </c>
      <c r="N24" s="67"/>
      <c r="O24" s="53"/>
      <c r="P24" s="67"/>
    </row>
    <row r="25" spans="1:18" ht="22.95" customHeight="1">
      <c r="A25" s="58">
        <v>2</v>
      </c>
      <c r="B25" s="59" t="s">
        <v>100</v>
      </c>
      <c r="C25" s="60" t="s">
        <v>86</v>
      </c>
      <c r="D25" s="78"/>
      <c r="E25" s="202">
        <f>D17*0.2</f>
        <v>0</v>
      </c>
      <c r="F25" s="202">
        <f>G25-E25</f>
        <v>0</v>
      </c>
      <c r="G25" s="202">
        <f>D17*0.2</f>
        <v>0</v>
      </c>
      <c r="H25" s="206"/>
      <c r="I25" s="202"/>
      <c r="J25" s="206"/>
      <c r="K25" s="61">
        <f>E25</f>
        <v>0</v>
      </c>
      <c r="L25" s="61">
        <f t="shared" si="3"/>
        <v>0</v>
      </c>
      <c r="M25" s="61">
        <f t="shared" si="3"/>
        <v>0</v>
      </c>
      <c r="N25" s="67"/>
      <c r="O25" s="53"/>
      <c r="P25" s="67"/>
    </row>
    <row r="26" spans="1:18" ht="34.950000000000003" customHeight="1">
      <c r="A26" s="58">
        <v>3</v>
      </c>
      <c r="B26" s="59" t="s">
        <v>101</v>
      </c>
      <c r="C26" s="60" t="s">
        <v>102</v>
      </c>
      <c r="D26" s="78"/>
      <c r="E26" s="202">
        <f>D18*0.2</f>
        <v>0</v>
      </c>
      <c r="F26" s="202">
        <f>G26-E26</f>
        <v>0</v>
      </c>
      <c r="G26" s="202">
        <f>D18*0.2</f>
        <v>0</v>
      </c>
      <c r="H26" s="206"/>
      <c r="I26" s="202"/>
      <c r="J26" s="206"/>
      <c r="K26" s="61">
        <f>E26</f>
        <v>0</v>
      </c>
      <c r="L26" s="61">
        <f t="shared" si="3"/>
        <v>0</v>
      </c>
      <c r="M26" s="61">
        <f t="shared" si="3"/>
        <v>0</v>
      </c>
      <c r="N26" s="67"/>
      <c r="O26" s="53"/>
      <c r="P26" s="67"/>
    </row>
    <row r="27" spans="1:18" ht="22.95" customHeight="1">
      <c r="A27" s="50"/>
      <c r="B27" s="81" t="s">
        <v>103</v>
      </c>
      <c r="C27" s="51" t="s">
        <v>104</v>
      </c>
      <c r="D27" s="52"/>
      <c r="E27" s="204">
        <f>SUM(E24:E26)</f>
        <v>0</v>
      </c>
      <c r="F27" s="204">
        <f>SUM(F24:F26)</f>
        <v>0</v>
      </c>
      <c r="G27" s="204">
        <f>SUM(G24:G26)</f>
        <v>0</v>
      </c>
      <c r="H27" s="207"/>
      <c r="I27" s="204"/>
      <c r="J27" s="207"/>
      <c r="K27" s="73">
        <f>SUM(K24:K26)</f>
        <v>0</v>
      </c>
      <c r="L27" s="73">
        <f>SUM(L24:L26)</f>
        <v>0</v>
      </c>
      <c r="M27" s="73">
        <f>SUM(M24:M26)</f>
        <v>0</v>
      </c>
      <c r="N27" s="82"/>
      <c r="O27" s="73"/>
      <c r="P27" s="82"/>
    </row>
    <row r="28" spans="1:18" ht="22.95" customHeight="1">
      <c r="A28" s="70"/>
      <c r="B28" s="77" t="s">
        <v>105</v>
      </c>
      <c r="C28" s="56" t="s">
        <v>106</v>
      </c>
      <c r="D28" s="83"/>
      <c r="E28" s="208"/>
      <c r="F28" s="208"/>
      <c r="G28" s="204"/>
      <c r="H28" s="207"/>
      <c r="I28" s="204"/>
      <c r="J28" s="207"/>
      <c r="K28" s="65"/>
      <c r="L28" s="84"/>
      <c r="M28" s="53"/>
      <c r="N28" s="67"/>
      <c r="O28" s="53"/>
      <c r="P28" s="67"/>
    </row>
    <row r="29" spans="1:18" ht="22.95" customHeight="1">
      <c r="A29" s="70"/>
      <c r="B29" s="85" t="s">
        <v>107</v>
      </c>
      <c r="C29" s="86" t="s">
        <v>108</v>
      </c>
      <c r="D29" s="68"/>
      <c r="E29" s="202" t="s">
        <v>109</v>
      </c>
      <c r="F29" s="202" t="e">
        <f>G29-E29</f>
        <v>#VALUE!</v>
      </c>
      <c r="G29" s="202">
        <v>0</v>
      </c>
      <c r="H29" s="206"/>
      <c r="I29" s="202"/>
      <c r="J29" s="206"/>
      <c r="K29" s="62" t="s">
        <v>109</v>
      </c>
      <c r="L29" s="62" t="e">
        <f>M29-K29</f>
        <v>#VALUE!</v>
      </c>
      <c r="M29" s="62">
        <f>M36</f>
        <v>0</v>
      </c>
      <c r="N29" s="67"/>
      <c r="O29" s="53"/>
      <c r="P29" s="67"/>
    </row>
    <row r="30" spans="1:18" ht="22.95" customHeight="1">
      <c r="A30" s="70"/>
      <c r="B30" s="85" t="s">
        <v>110</v>
      </c>
      <c r="C30" s="86" t="s">
        <v>111</v>
      </c>
      <c r="D30" s="68"/>
      <c r="E30" s="202" t="s">
        <v>109</v>
      </c>
      <c r="F30" s="202" t="e">
        <f>G30-E30</f>
        <v>#VALUE!</v>
      </c>
      <c r="G30" s="202">
        <v>0</v>
      </c>
      <c r="H30" s="206"/>
      <c r="I30" s="202"/>
      <c r="J30" s="206"/>
      <c r="K30" s="62" t="s">
        <v>109</v>
      </c>
      <c r="L30" s="62" t="e">
        <f>M30-K30</f>
        <v>#VALUE!</v>
      </c>
      <c r="M30" s="62">
        <f>M37</f>
        <v>0</v>
      </c>
      <c r="N30" s="67"/>
      <c r="O30" s="53"/>
      <c r="P30" s="67"/>
    </row>
    <row r="31" spans="1:18" ht="33.9" customHeight="1">
      <c r="A31" s="70"/>
      <c r="B31" s="85" t="s">
        <v>112</v>
      </c>
      <c r="C31" s="86" t="s">
        <v>113</v>
      </c>
      <c r="D31" s="68"/>
      <c r="E31" s="202" t="s">
        <v>109</v>
      </c>
      <c r="F31" s="202" t="e">
        <f>G31-E31</f>
        <v>#VALUE!</v>
      </c>
      <c r="G31" s="202">
        <v>0</v>
      </c>
      <c r="H31" s="206"/>
      <c r="I31" s="202"/>
      <c r="J31" s="206"/>
      <c r="K31" s="62" t="s">
        <v>109</v>
      </c>
      <c r="L31" s="62" t="e">
        <f>M31-K31</f>
        <v>#VALUE!</v>
      </c>
      <c r="M31" s="62">
        <f>M38</f>
        <v>0</v>
      </c>
      <c r="N31" s="67"/>
      <c r="O31" s="53"/>
      <c r="P31" s="67"/>
    </row>
    <row r="32" spans="1:18" ht="33.9" customHeight="1">
      <c r="A32" s="70"/>
      <c r="B32" s="85" t="s">
        <v>114</v>
      </c>
      <c r="C32" s="86" t="s">
        <v>115</v>
      </c>
      <c r="D32" s="68"/>
      <c r="E32" s="202" t="s">
        <v>109</v>
      </c>
      <c r="F32" s="202" t="e">
        <f>G32-E32</f>
        <v>#VALUE!</v>
      </c>
      <c r="G32" s="202">
        <v>0</v>
      </c>
      <c r="H32" s="206"/>
      <c r="I32" s="202"/>
      <c r="J32" s="206"/>
      <c r="K32" s="62" t="s">
        <v>109</v>
      </c>
      <c r="L32" s="62" t="e">
        <f>M32-K32</f>
        <v>#VALUE!</v>
      </c>
      <c r="M32" s="62">
        <f>M39</f>
        <v>0</v>
      </c>
      <c r="N32" s="67"/>
      <c r="O32" s="53"/>
      <c r="P32" s="67"/>
    </row>
    <row r="33" spans="1:16" ht="22.95" customHeight="1">
      <c r="A33" s="70"/>
      <c r="B33" s="71" t="s">
        <v>116</v>
      </c>
      <c r="C33" s="51" t="s">
        <v>117</v>
      </c>
      <c r="D33" s="83"/>
      <c r="E33" s="204">
        <f>SUM(E29:E32)</f>
        <v>0</v>
      </c>
      <c r="F33" s="204" t="e">
        <f>SUM(F29:F32)</f>
        <v>#VALUE!</v>
      </c>
      <c r="G33" s="204">
        <f>SUM(G29:G32)</f>
        <v>0</v>
      </c>
      <c r="H33" s="207"/>
      <c r="I33" s="204"/>
      <c r="J33" s="207"/>
      <c r="K33" s="73">
        <f>SUM(K29:K32)</f>
        <v>0</v>
      </c>
      <c r="L33" s="73" t="e">
        <f>SUM(L29:L32)</f>
        <v>#VALUE!</v>
      </c>
      <c r="M33" s="73">
        <f>SUM(M29:M32)</f>
        <v>0</v>
      </c>
      <c r="N33" s="67"/>
      <c r="O33" s="53"/>
      <c r="P33" s="67"/>
    </row>
    <row r="34" spans="1:16" ht="22.95" customHeight="1">
      <c r="A34" s="70"/>
      <c r="B34" s="71" t="s">
        <v>118</v>
      </c>
      <c r="C34" s="51" t="s">
        <v>119</v>
      </c>
      <c r="D34" s="83"/>
      <c r="E34" s="204"/>
      <c r="F34" s="204"/>
      <c r="G34" s="204"/>
      <c r="H34" s="207"/>
      <c r="I34" s="204"/>
      <c r="J34" s="207"/>
      <c r="K34" s="65"/>
      <c r="L34" s="84"/>
      <c r="M34" s="53"/>
      <c r="N34" s="67"/>
      <c r="O34" s="53"/>
      <c r="P34" s="67"/>
    </row>
    <row r="35" spans="1:16" ht="22.95" customHeight="1">
      <c r="A35" s="70"/>
      <c r="B35" s="71" t="s">
        <v>120</v>
      </c>
      <c r="C35" s="51" t="s">
        <v>121</v>
      </c>
      <c r="D35" s="83"/>
      <c r="E35" s="204"/>
      <c r="F35" s="204"/>
      <c r="G35" s="204"/>
      <c r="H35" s="207"/>
      <c r="I35" s="204"/>
      <c r="J35" s="207"/>
      <c r="K35" s="65"/>
      <c r="L35" s="84"/>
      <c r="M35" s="53"/>
      <c r="N35" s="67"/>
      <c r="O35" s="53"/>
      <c r="P35" s="67"/>
    </row>
    <row r="36" spans="1:16" ht="22.95" customHeight="1">
      <c r="A36" s="70"/>
      <c r="B36" s="85" t="s">
        <v>122</v>
      </c>
      <c r="C36" s="86" t="s">
        <v>123</v>
      </c>
      <c r="D36" s="83"/>
      <c r="E36" s="204"/>
      <c r="F36" s="204"/>
      <c r="G36" s="204"/>
      <c r="H36" s="207"/>
      <c r="I36" s="204"/>
      <c r="J36" s="207"/>
      <c r="K36" s="62" t="s">
        <v>109</v>
      </c>
      <c r="L36" s="62" t="e">
        <f>M36-K36</f>
        <v>#VALUE!</v>
      </c>
      <c r="M36" s="62">
        <f>'Sch1. (A)'!U20</f>
        <v>0</v>
      </c>
      <c r="N36" s="67"/>
      <c r="O36" s="53"/>
      <c r="P36" s="67"/>
    </row>
    <row r="37" spans="1:16" ht="22.95" customHeight="1">
      <c r="A37" s="70"/>
      <c r="B37" s="85" t="s">
        <v>124</v>
      </c>
      <c r="C37" s="86" t="s">
        <v>125</v>
      </c>
      <c r="D37" s="83"/>
      <c r="E37" s="204"/>
      <c r="F37" s="204"/>
      <c r="G37" s="204"/>
      <c r="H37" s="207"/>
      <c r="I37" s="204"/>
      <c r="J37" s="207"/>
      <c r="K37" s="62" t="s">
        <v>109</v>
      </c>
      <c r="L37" s="62" t="e">
        <f>M37-K37</f>
        <v>#VALUE!</v>
      </c>
      <c r="M37" s="62">
        <f>ROUND(G18/70*5,2)</f>
        <v>0</v>
      </c>
      <c r="N37" s="67"/>
      <c r="O37" s="53"/>
      <c r="P37" s="67"/>
    </row>
    <row r="38" spans="1:16" ht="22.95" customHeight="1">
      <c r="A38" s="70"/>
      <c r="B38" s="85" t="s">
        <v>126</v>
      </c>
      <c r="C38" s="86" t="s">
        <v>127</v>
      </c>
      <c r="D38" s="83"/>
      <c r="E38" s="204"/>
      <c r="F38" s="204"/>
      <c r="G38" s="204"/>
      <c r="H38" s="207"/>
      <c r="I38" s="204"/>
      <c r="J38" s="207"/>
      <c r="K38" s="62" t="s">
        <v>109</v>
      </c>
      <c r="L38" s="62" t="e">
        <f>M38-K38</f>
        <v>#VALUE!</v>
      </c>
      <c r="M38" s="62">
        <f>'Sch1. (A)'!U22</f>
        <v>0</v>
      </c>
      <c r="N38" s="67"/>
      <c r="O38" s="53"/>
      <c r="P38" s="67"/>
    </row>
    <row r="39" spans="1:16" ht="22.95" customHeight="1">
      <c r="A39" s="70"/>
      <c r="B39" s="85" t="s">
        <v>128</v>
      </c>
      <c r="C39" s="86" t="s">
        <v>129</v>
      </c>
      <c r="D39" s="83"/>
      <c r="E39" s="204"/>
      <c r="F39" s="204"/>
      <c r="G39" s="204"/>
      <c r="H39" s="207"/>
      <c r="I39" s="204"/>
      <c r="J39" s="207"/>
      <c r="K39" s="62" t="s">
        <v>109</v>
      </c>
      <c r="L39" s="62" t="e">
        <f>M39-K39</f>
        <v>#VALUE!</v>
      </c>
      <c r="M39" s="62">
        <f>ROUND(G18/70*5,2)</f>
        <v>0</v>
      </c>
      <c r="N39" s="67"/>
      <c r="O39" s="53"/>
      <c r="P39" s="67"/>
    </row>
    <row r="40" spans="1:16" ht="22.95" customHeight="1">
      <c r="A40" s="70"/>
      <c r="B40" s="87" t="s">
        <v>130</v>
      </c>
      <c r="C40" s="51" t="s">
        <v>131</v>
      </c>
      <c r="D40" s="83"/>
      <c r="E40" s="204"/>
      <c r="F40" s="204"/>
      <c r="G40" s="204"/>
      <c r="H40" s="207"/>
      <c r="I40" s="204"/>
      <c r="J40" s="207"/>
      <c r="K40" s="73" t="s">
        <v>109</v>
      </c>
      <c r="L40" s="88" t="e">
        <f>SUM(L36:L39)</f>
        <v>#VALUE!</v>
      </c>
      <c r="M40" s="73">
        <f>SUM(M36:M39)</f>
        <v>0</v>
      </c>
      <c r="N40" s="67"/>
      <c r="O40" s="53"/>
      <c r="P40" s="67"/>
    </row>
    <row r="41" spans="1:16" ht="34.950000000000003" customHeight="1">
      <c r="A41" s="70"/>
      <c r="B41" s="89" t="s">
        <v>132</v>
      </c>
      <c r="C41" s="89" t="s">
        <v>133</v>
      </c>
      <c r="D41" s="83"/>
      <c r="E41" s="209"/>
      <c r="F41" s="209"/>
      <c r="G41" s="209"/>
      <c r="H41" s="207"/>
      <c r="I41" s="209"/>
      <c r="J41" s="207"/>
      <c r="K41" s="62" t="s">
        <v>109</v>
      </c>
      <c r="L41" s="62" t="e">
        <f>M41-K41</f>
        <v>#VALUE!</v>
      </c>
      <c r="M41" s="62">
        <f>SUM(+'Sch1. (A)'!U24+G18/70*20+G17/80*20)</f>
        <v>0</v>
      </c>
      <c r="N41" s="67"/>
      <c r="O41" s="53"/>
      <c r="P41" s="67"/>
    </row>
    <row r="42" spans="1:16" ht="22.95" customHeight="1">
      <c r="A42" s="70"/>
      <c r="B42" s="51" t="s">
        <v>134</v>
      </c>
      <c r="C42" s="51" t="s">
        <v>135</v>
      </c>
      <c r="D42" s="83"/>
      <c r="E42" s="209"/>
      <c r="F42" s="209"/>
      <c r="G42" s="209"/>
      <c r="H42" s="207"/>
      <c r="I42" s="204"/>
      <c r="J42" s="207"/>
      <c r="K42" s="73" t="e">
        <f>K40+K41</f>
        <v>#VALUE!</v>
      </c>
      <c r="L42" s="73" t="e">
        <f>L40+L41</f>
        <v>#VALUE!</v>
      </c>
      <c r="M42" s="73">
        <f>M40+M41</f>
        <v>0</v>
      </c>
      <c r="N42" s="67"/>
      <c r="O42" s="53"/>
      <c r="P42" s="67"/>
    </row>
    <row r="43" spans="1:16" ht="40.200000000000003" customHeight="1">
      <c r="A43" s="90"/>
      <c r="B43" s="91" t="s">
        <v>136</v>
      </c>
      <c r="C43" s="91" t="s">
        <v>137</v>
      </c>
      <c r="D43" s="92">
        <f>D20+D21</f>
        <v>0</v>
      </c>
      <c r="E43" s="92">
        <f>E20+E21+E27+E33</f>
        <v>0</v>
      </c>
      <c r="F43" s="92" t="e">
        <f>F20+F21+F27+F33</f>
        <v>#VALUE!</v>
      </c>
      <c r="G43" s="92">
        <f>G20+G21+G27+G33</f>
        <v>0</v>
      </c>
      <c r="H43" s="93" t="e">
        <f>G43/D43</f>
        <v>#DIV/0!</v>
      </c>
      <c r="I43" s="92">
        <f>D43-G43</f>
        <v>0</v>
      </c>
      <c r="J43" s="93" t="e">
        <f>I43/D43</f>
        <v>#DIV/0!</v>
      </c>
      <c r="K43" s="92" t="e">
        <f>K20+K21+K27-K42</f>
        <v>#VALUE!</v>
      </c>
      <c r="L43" s="92" t="e">
        <f>L20+L21+L27-L42</f>
        <v>#VALUE!</v>
      </c>
      <c r="M43" s="92">
        <f>M20+M21+M27-M42</f>
        <v>0</v>
      </c>
      <c r="N43" s="94" t="e">
        <f>M43/D43</f>
        <v>#DIV/0!</v>
      </c>
      <c r="O43" s="92">
        <f>D43-M43</f>
        <v>0</v>
      </c>
      <c r="P43" s="94" t="e">
        <f>O43/D43</f>
        <v>#DIV/0!</v>
      </c>
    </row>
    <row r="44" spans="1:16">
      <c r="A44" s="95"/>
      <c r="B44" s="96"/>
      <c r="C44" s="97"/>
      <c r="D44" s="98"/>
      <c r="E44" s="99"/>
      <c r="F44" s="99"/>
      <c r="G44" s="99"/>
      <c r="H44" s="100"/>
      <c r="I44" s="101"/>
    </row>
    <row r="45" spans="1:16" ht="20.100000000000001" customHeight="1">
      <c r="A45" s="102"/>
      <c r="B45" s="103"/>
    </row>
    <row r="46" spans="1:16" ht="20.100000000000001" customHeight="1">
      <c r="A46" s="102"/>
      <c r="B46" s="103"/>
    </row>
    <row r="47" spans="1:16" ht="20.100000000000001" customHeight="1">
      <c r="A47" s="102"/>
      <c r="B47" s="103"/>
    </row>
    <row r="48" spans="1:16" ht="20.100000000000001" customHeight="1">
      <c r="A48" s="102"/>
      <c r="B48" s="103"/>
    </row>
    <row r="49" spans="1:2" ht="33.9" customHeight="1">
      <c r="A49" s="102"/>
      <c r="B49" s="103"/>
    </row>
    <row r="50" spans="1:2" ht="33.9" customHeight="1">
      <c r="A50" s="102"/>
      <c r="B50" s="103"/>
    </row>
    <row r="51" spans="1:2" ht="20.100000000000001" customHeight="1">
      <c r="A51" s="102"/>
      <c r="B51" s="104"/>
    </row>
    <row r="52" spans="1:2" ht="36" customHeight="1">
      <c r="A52" s="102"/>
      <c r="B52" s="103"/>
    </row>
    <row r="53" spans="1:2" ht="24.9" customHeight="1">
      <c r="A53" s="105"/>
      <c r="B53" s="104"/>
    </row>
  </sheetData>
  <mergeCells count="22">
    <mergeCell ref="Q15:Q16"/>
    <mergeCell ref="E14:J14"/>
    <mergeCell ref="K14:P14"/>
    <mergeCell ref="D15:D16"/>
    <mergeCell ref="H15:H16"/>
    <mergeCell ref="I15:I16"/>
    <mergeCell ref="J15:J16"/>
    <mergeCell ref="O15:O16"/>
    <mergeCell ref="E9:J9"/>
    <mergeCell ref="K9:P9"/>
    <mergeCell ref="A10:A12"/>
    <mergeCell ref="B10:B12"/>
    <mergeCell ref="C10:C12"/>
    <mergeCell ref="D10:D11"/>
    <mergeCell ref="E10:H10"/>
    <mergeCell ref="I10:J10"/>
    <mergeCell ref="K10:N10"/>
    <mergeCell ref="O10:P10"/>
    <mergeCell ref="A6:A8"/>
    <mergeCell ref="B6:B8"/>
    <mergeCell ref="C6:C8"/>
    <mergeCell ref="D6:D7"/>
  </mergeCells>
  <pageMargins left="0.39305555555555599" right="0.15625" top="0.74791666666666701" bottom="0.74791666666666701" header="0.31388888888888899" footer="0.31388888888888899"/>
  <pageSetup paperSize="9" scale="40" fitToHeight="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AE43"/>
  <sheetViews>
    <sheetView tabSelected="1" view="pageBreakPreview" zoomScale="55" zoomScaleNormal="55" zoomScaleSheetLayoutView="55" workbookViewId="0">
      <pane xSplit="6" ySplit="10" topLeftCell="G11" activePane="bottomRight" state="frozen"/>
      <selection activeCell="D18" sqref="D18"/>
      <selection pane="topRight" activeCell="D18" sqref="D18"/>
      <selection pane="bottomLeft" activeCell="D18" sqref="D18"/>
      <selection pane="bottomRight" activeCell="F11" sqref="F11:F12"/>
    </sheetView>
  </sheetViews>
  <sheetFormatPr defaultColWidth="9.109375" defaultRowHeight="35.1" customHeight="1"/>
  <cols>
    <col min="1" max="1" width="15.6640625" style="1" customWidth="1"/>
    <col min="2" max="2" width="100.6640625" style="1" customWidth="1"/>
    <col min="3" max="3" width="14.6640625" style="1" customWidth="1"/>
    <col min="4" max="4" width="11.5546875" style="1" customWidth="1"/>
    <col min="5" max="5" width="14.6640625" style="1" customWidth="1"/>
    <col min="6" max="6" width="17" style="1" customWidth="1"/>
    <col min="7" max="7" width="12.6640625" style="1" customWidth="1"/>
    <col min="8" max="8" width="17.6640625" style="1" customWidth="1"/>
    <col min="9" max="9" width="14.88671875" style="1" customWidth="1"/>
    <col min="10" max="11" width="17.109375" style="1" customWidth="1"/>
    <col min="12" max="13" width="16.88671875" style="1" customWidth="1"/>
    <col min="14" max="14" width="15.44140625" style="1" customWidth="1"/>
    <col min="15" max="15" width="15.88671875" style="1" customWidth="1"/>
    <col min="16" max="16" width="18.44140625" style="1" customWidth="1"/>
    <col min="17" max="17" width="14.6640625" style="1" customWidth="1"/>
    <col min="18" max="18" width="17.5546875" style="1" customWidth="1"/>
    <col min="19" max="19" width="14.5546875" style="1" customWidth="1"/>
    <col min="20" max="21" width="18.44140625" style="1" customWidth="1"/>
    <col min="22" max="22" width="16.109375" style="1" customWidth="1"/>
    <col min="23" max="24" width="16" style="1" customWidth="1"/>
    <col min="25" max="25" width="23.44140625" style="1" customWidth="1"/>
    <col min="26" max="26" width="16" style="1" customWidth="1"/>
    <col min="27" max="27" width="16.44140625" style="1" customWidth="1"/>
    <col min="28" max="31" width="21.5546875" style="1" customWidth="1"/>
    <col min="32" max="16384" width="9.109375" style="1"/>
  </cols>
  <sheetData>
    <row r="1" spans="1:31" ht="33" customHeight="1">
      <c r="A1" s="106"/>
      <c r="B1" s="213" t="str">
        <f>'Bill Summary'!B1:O1</f>
        <v xml:space="preserve">Name of a project /  Название котракту             </v>
      </c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36"/>
      <c r="AC1" s="36"/>
      <c r="AD1" s="36"/>
      <c r="AE1" s="36"/>
    </row>
    <row r="2" spans="1:31" ht="50.1" customHeight="1">
      <c r="A2" s="106"/>
      <c r="B2" s="330" t="str">
        <f>'Bill Summary'!B2:O2</f>
        <v>Contract identifier / 
Идентификатор контракта</v>
      </c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S2" s="330"/>
      <c r="T2" s="330"/>
      <c r="U2" s="330"/>
      <c r="V2" s="330"/>
      <c r="W2" s="330"/>
      <c r="X2" s="330"/>
      <c r="Y2" s="330"/>
      <c r="Z2" s="330"/>
      <c r="AA2" s="330"/>
      <c r="AB2" s="36"/>
      <c r="AC2" s="36"/>
      <c r="AD2" s="36"/>
      <c r="AE2" s="36"/>
    </row>
    <row r="3" spans="1:31" ht="27.9" customHeight="1">
      <c r="A3" s="106"/>
      <c r="B3" s="330" t="str">
        <f>'Bill Summary'!B3:J3</f>
        <v>IPC #   / СПП № #</v>
      </c>
      <c r="C3" s="330"/>
      <c r="D3" s="330"/>
      <c r="E3" s="330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  <c r="Z3" s="330"/>
      <c r="AA3" s="330"/>
      <c r="AB3" s="36"/>
      <c r="AC3" s="36"/>
      <c r="AD3" s="36"/>
      <c r="AE3" s="36"/>
    </row>
    <row r="4" spans="1:31" ht="28.2" customHeight="1">
      <c r="A4" s="106"/>
      <c r="B4" s="35" t="str">
        <f>'Bill Summary'!B4:C4</f>
        <v>Start of Works/ Начало работ :  DD.MM.YYYY</v>
      </c>
      <c r="C4" s="35"/>
      <c r="D4" s="212"/>
      <c r="E4" s="212"/>
      <c r="F4" s="212"/>
      <c r="G4" s="212"/>
      <c r="H4" s="212"/>
      <c r="I4" s="33"/>
      <c r="J4" s="33"/>
      <c r="K4" s="33"/>
      <c r="L4" s="107"/>
      <c r="M4" s="108"/>
      <c r="N4" s="109"/>
      <c r="O4" s="110"/>
      <c r="P4" s="110"/>
      <c r="Q4" s="109"/>
      <c r="R4" s="110"/>
      <c r="S4" s="110"/>
      <c r="T4" s="331" t="s">
        <v>48</v>
      </c>
      <c r="U4" s="331"/>
      <c r="V4" s="331"/>
      <c r="W4" s="331"/>
      <c r="X4" s="331"/>
      <c r="Y4" s="331" t="str">
        <f>'Cover of IPC '!D7</f>
        <v>DD.MM.YYYY - DD.MM.YYYY</v>
      </c>
      <c r="Z4" s="331"/>
      <c r="AA4" s="331"/>
      <c r="AB4" s="36"/>
      <c r="AC4" s="36"/>
      <c r="AD4" s="36"/>
      <c r="AE4" s="36"/>
    </row>
    <row r="5" spans="1:31" ht="28.2" customHeight="1">
      <c r="A5" s="230" t="s">
        <v>138</v>
      </c>
      <c r="B5" s="230"/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  <c r="Q5" s="230"/>
      <c r="R5" s="230"/>
      <c r="S5" s="230"/>
      <c r="T5" s="230"/>
      <c r="U5" s="230"/>
      <c r="V5" s="230"/>
      <c r="W5" s="230"/>
      <c r="X5" s="230"/>
      <c r="Y5" s="230"/>
      <c r="Z5" s="230"/>
      <c r="AA5" s="230"/>
      <c r="AB5" s="111"/>
      <c r="AC5" s="111"/>
      <c r="AD5" s="111"/>
      <c r="AE5" s="111"/>
    </row>
    <row r="6" spans="1:31" ht="60.75" customHeight="1">
      <c r="A6" s="231" t="s">
        <v>139</v>
      </c>
      <c r="B6" s="112" t="s">
        <v>140</v>
      </c>
      <c r="C6" s="112" t="s">
        <v>141</v>
      </c>
      <c r="D6" s="113" t="s">
        <v>142</v>
      </c>
      <c r="E6" s="114" t="s">
        <v>143</v>
      </c>
      <c r="F6" s="114" t="s">
        <v>144</v>
      </c>
      <c r="G6" s="232" t="s">
        <v>145</v>
      </c>
      <c r="H6" s="232"/>
      <c r="I6" s="232"/>
      <c r="J6" s="232"/>
      <c r="K6" s="232"/>
      <c r="L6" s="232" t="s">
        <v>146</v>
      </c>
      <c r="M6" s="232"/>
      <c r="N6" s="232"/>
      <c r="O6" s="232"/>
      <c r="P6" s="232"/>
      <c r="Q6" s="232" t="s">
        <v>147</v>
      </c>
      <c r="R6" s="232"/>
      <c r="S6" s="232"/>
      <c r="T6" s="232"/>
      <c r="U6" s="232"/>
      <c r="V6" s="232" t="s">
        <v>148</v>
      </c>
      <c r="W6" s="232"/>
      <c r="X6" s="232"/>
      <c r="Y6" s="232"/>
      <c r="Z6" s="232"/>
      <c r="AA6" s="232" t="s">
        <v>149</v>
      </c>
      <c r="AB6" s="241" t="s">
        <v>150</v>
      </c>
      <c r="AC6" s="241"/>
      <c r="AD6" s="241" t="s">
        <v>151</v>
      </c>
      <c r="AE6" s="241"/>
    </row>
    <row r="7" spans="1:31" ht="94.5" customHeight="1">
      <c r="A7" s="231"/>
      <c r="B7" s="242" t="s">
        <v>152</v>
      </c>
      <c r="C7" s="243" t="s">
        <v>153</v>
      </c>
      <c r="D7" s="243" t="s">
        <v>154</v>
      </c>
      <c r="E7" s="244" t="s">
        <v>155</v>
      </c>
      <c r="F7" s="244" t="s">
        <v>156</v>
      </c>
      <c r="G7" s="232" t="s">
        <v>150</v>
      </c>
      <c r="H7" s="232"/>
      <c r="I7" s="232" t="s">
        <v>151</v>
      </c>
      <c r="J7" s="232"/>
      <c r="K7" s="115" t="s">
        <v>157</v>
      </c>
      <c r="L7" s="232" t="s">
        <v>150</v>
      </c>
      <c r="M7" s="232"/>
      <c r="N7" s="232" t="s">
        <v>151</v>
      </c>
      <c r="O7" s="232"/>
      <c r="P7" s="115" t="s">
        <v>157</v>
      </c>
      <c r="Q7" s="232" t="s">
        <v>150</v>
      </c>
      <c r="R7" s="232"/>
      <c r="S7" s="232" t="s">
        <v>151</v>
      </c>
      <c r="T7" s="232"/>
      <c r="U7" s="115" t="s">
        <v>157</v>
      </c>
      <c r="V7" s="232" t="s">
        <v>150</v>
      </c>
      <c r="W7" s="232"/>
      <c r="X7" s="232" t="s">
        <v>151</v>
      </c>
      <c r="Y7" s="232"/>
      <c r="Z7" s="115" t="s">
        <v>157</v>
      </c>
      <c r="AA7" s="232"/>
      <c r="AB7" s="241"/>
      <c r="AC7" s="241"/>
      <c r="AD7" s="241"/>
      <c r="AE7" s="241"/>
    </row>
    <row r="8" spans="1:31" ht="61.95" customHeight="1">
      <c r="A8" s="231"/>
      <c r="B8" s="242"/>
      <c r="C8" s="243"/>
      <c r="D8" s="243"/>
      <c r="E8" s="244"/>
      <c r="F8" s="244"/>
      <c r="G8" s="115" t="s">
        <v>158</v>
      </c>
      <c r="H8" s="115" t="s">
        <v>159</v>
      </c>
      <c r="I8" s="115" t="s">
        <v>158</v>
      </c>
      <c r="J8" s="115" t="s">
        <v>159</v>
      </c>
      <c r="K8" s="115" t="s">
        <v>159</v>
      </c>
      <c r="L8" s="115" t="s">
        <v>158</v>
      </c>
      <c r="M8" s="115" t="s">
        <v>159</v>
      </c>
      <c r="N8" s="115" t="s">
        <v>158</v>
      </c>
      <c r="O8" s="115" t="s">
        <v>159</v>
      </c>
      <c r="P8" s="115" t="s">
        <v>159</v>
      </c>
      <c r="Q8" s="115" t="s">
        <v>158</v>
      </c>
      <c r="R8" s="115" t="s">
        <v>159</v>
      </c>
      <c r="S8" s="115" t="s">
        <v>158</v>
      </c>
      <c r="T8" s="115" t="s">
        <v>159</v>
      </c>
      <c r="U8" s="115" t="s">
        <v>159</v>
      </c>
      <c r="V8" s="115" t="s">
        <v>158</v>
      </c>
      <c r="W8" s="115" t="s">
        <v>159</v>
      </c>
      <c r="X8" s="115" t="s">
        <v>158</v>
      </c>
      <c r="Y8" s="115" t="s">
        <v>159</v>
      </c>
      <c r="Z8" s="115" t="s">
        <v>159</v>
      </c>
      <c r="AA8" s="115" t="s">
        <v>63</v>
      </c>
      <c r="AB8" s="233">
        <v>0.5</v>
      </c>
      <c r="AC8" s="233"/>
      <c r="AD8" s="234">
        <v>0.2</v>
      </c>
      <c r="AE8" s="234"/>
    </row>
    <row r="9" spans="1:31" ht="36" hidden="1" customHeight="1">
      <c r="A9" s="116"/>
      <c r="B9" s="118"/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7"/>
      <c r="AC9" s="117"/>
      <c r="AD9" s="117"/>
      <c r="AE9" s="117"/>
    </row>
    <row r="10" spans="1:31" ht="44.4" customHeight="1">
      <c r="A10" s="116"/>
      <c r="B10" s="118"/>
      <c r="C10" s="118"/>
      <c r="D10" s="118" t="s">
        <v>160</v>
      </c>
      <c r="E10" s="118" t="s">
        <v>160</v>
      </c>
      <c r="F10" s="118" t="s">
        <v>161</v>
      </c>
      <c r="G10" s="118" t="s">
        <v>160</v>
      </c>
      <c r="H10" s="118" t="s">
        <v>162</v>
      </c>
      <c r="I10" s="118" t="s">
        <v>160</v>
      </c>
      <c r="J10" s="118" t="s">
        <v>163</v>
      </c>
      <c r="K10" s="118" t="s">
        <v>164</v>
      </c>
      <c r="L10" s="118" t="s">
        <v>165</v>
      </c>
      <c r="M10" s="118" t="s">
        <v>166</v>
      </c>
      <c r="N10" s="118" t="s">
        <v>167</v>
      </c>
      <c r="O10" s="118" t="s">
        <v>168</v>
      </c>
      <c r="P10" s="118" t="s">
        <v>169</v>
      </c>
      <c r="Q10" s="118" t="s">
        <v>160</v>
      </c>
      <c r="R10" s="118" t="s">
        <v>170</v>
      </c>
      <c r="S10" s="118" t="s">
        <v>160</v>
      </c>
      <c r="T10" s="118" t="s">
        <v>171</v>
      </c>
      <c r="U10" s="118" t="s">
        <v>172</v>
      </c>
      <c r="V10" s="118" t="s">
        <v>173</v>
      </c>
      <c r="W10" s="118" t="s">
        <v>174</v>
      </c>
      <c r="X10" s="118" t="s">
        <v>175</v>
      </c>
      <c r="Y10" s="118" t="s">
        <v>176</v>
      </c>
      <c r="Z10" s="118" t="s">
        <v>177</v>
      </c>
      <c r="AA10" s="118" t="s">
        <v>178</v>
      </c>
      <c r="AB10" s="117"/>
      <c r="AC10" s="117"/>
      <c r="AD10" s="117"/>
      <c r="AE10" s="117"/>
    </row>
    <row r="11" spans="1:31" ht="87" customHeight="1">
      <c r="A11" s="237"/>
      <c r="B11" s="119"/>
      <c r="C11" s="120"/>
      <c r="D11" s="238"/>
      <c r="E11" s="239"/>
      <c r="F11" s="239"/>
      <c r="G11" s="240">
        <v>0</v>
      </c>
      <c r="H11" s="239">
        <f>G11*$E11*$AB$8</f>
        <v>0</v>
      </c>
      <c r="I11" s="240">
        <v>0</v>
      </c>
      <c r="J11" s="239">
        <f>I11*E11*$AD$8</f>
        <v>0</v>
      </c>
      <c r="K11" s="239">
        <f>J11+H11</f>
        <v>0</v>
      </c>
      <c r="L11" s="240">
        <f>Q11-G11</f>
        <v>0</v>
      </c>
      <c r="M11" s="239">
        <f>L11*$E11*$AB$8</f>
        <v>0</v>
      </c>
      <c r="N11" s="240">
        <f>S11-I11</f>
        <v>0</v>
      </c>
      <c r="O11" s="239">
        <f>N11*$E11*$AD$8</f>
        <v>0</v>
      </c>
      <c r="P11" s="239">
        <f>O11+M11</f>
        <v>0</v>
      </c>
      <c r="Q11" s="240"/>
      <c r="R11" s="239">
        <f>Q11*$E11*$AB$8</f>
        <v>0</v>
      </c>
      <c r="S11" s="239"/>
      <c r="T11" s="239">
        <f>S11*$E11*$AD$8</f>
        <v>0</v>
      </c>
      <c r="U11" s="239">
        <f>T11+R11</f>
        <v>0</v>
      </c>
      <c r="V11" s="240">
        <f>D11-$Q11</f>
        <v>0</v>
      </c>
      <c r="W11" s="239">
        <f>V11*$E11*$AB$8</f>
        <v>0</v>
      </c>
      <c r="X11" s="240">
        <f>D11-S11</f>
        <v>0</v>
      </c>
      <c r="Y11" s="239">
        <f>X11*$E11*$AD$8</f>
        <v>0</v>
      </c>
      <c r="Z11" s="239">
        <f>Y11+W11</f>
        <v>0</v>
      </c>
      <c r="AA11" s="245" t="e">
        <f>Z11/F11</f>
        <v>#DIV/0!</v>
      </c>
      <c r="AB11" s="117"/>
      <c r="AC11" s="117"/>
      <c r="AD11" s="117"/>
      <c r="AE11" s="117"/>
    </row>
    <row r="12" spans="1:31" ht="99.9" customHeight="1">
      <c r="A12" s="237"/>
      <c r="B12" s="119"/>
      <c r="C12" s="120"/>
      <c r="D12" s="238"/>
      <c r="E12" s="239"/>
      <c r="F12" s="239"/>
      <c r="G12" s="240"/>
      <c r="H12" s="239"/>
      <c r="I12" s="240"/>
      <c r="J12" s="239"/>
      <c r="K12" s="239"/>
      <c r="L12" s="240"/>
      <c r="M12" s="239"/>
      <c r="N12" s="240"/>
      <c r="O12" s="239"/>
      <c r="P12" s="239"/>
      <c r="Q12" s="240"/>
      <c r="R12" s="239"/>
      <c r="S12" s="239"/>
      <c r="T12" s="239"/>
      <c r="U12" s="239"/>
      <c r="V12" s="240"/>
      <c r="W12" s="239"/>
      <c r="X12" s="240"/>
      <c r="Y12" s="239"/>
      <c r="Z12" s="239"/>
      <c r="AA12" s="245"/>
      <c r="AB12" s="117"/>
      <c r="AC12" s="117"/>
      <c r="AD12" s="117"/>
      <c r="AE12" s="117"/>
    </row>
    <row r="13" spans="1:31" ht="27.6" customHeight="1">
      <c r="A13" s="237"/>
      <c r="B13" s="121"/>
      <c r="C13" s="246"/>
      <c r="D13" s="237"/>
      <c r="E13" s="239"/>
      <c r="F13" s="239">
        <f t="shared" ref="F13" si="0">D13*E13</f>
        <v>0</v>
      </c>
      <c r="G13" s="240"/>
      <c r="H13" s="239">
        <f>G13*$E13*$AB$8</f>
        <v>0</v>
      </c>
      <c r="I13" s="240"/>
      <c r="J13" s="239">
        <f>I13*E13*$AD$8</f>
        <v>0</v>
      </c>
      <c r="K13" s="239">
        <f>J13+H13</f>
        <v>0</v>
      </c>
      <c r="L13" s="240">
        <f>Q13-G13</f>
        <v>0</v>
      </c>
      <c r="M13" s="239">
        <f>L13*$E13*$AB$8</f>
        <v>0</v>
      </c>
      <c r="N13" s="240">
        <f>S13-I13</f>
        <v>0</v>
      </c>
      <c r="O13" s="239">
        <f>N13*$E13*$AD$8</f>
        <v>0</v>
      </c>
      <c r="P13" s="239">
        <f>O13+M13</f>
        <v>0</v>
      </c>
      <c r="Q13" s="240"/>
      <c r="R13" s="239">
        <f>Q13*$E13*$AB$8</f>
        <v>0</v>
      </c>
      <c r="S13" s="239"/>
      <c r="T13" s="239">
        <f>S13*$E13*$AD$8</f>
        <v>0</v>
      </c>
      <c r="U13" s="239">
        <f>T13+R13</f>
        <v>0</v>
      </c>
      <c r="V13" s="240">
        <f>D13-$Q13</f>
        <v>0</v>
      </c>
      <c r="W13" s="239">
        <f>V13*$E13*$AB$8</f>
        <v>0</v>
      </c>
      <c r="X13" s="240">
        <f>D13-S13</f>
        <v>0</v>
      </c>
      <c r="Y13" s="239">
        <f>X13*$E13*$AD$8</f>
        <v>0</v>
      </c>
      <c r="Z13" s="239">
        <f>Y13+W13</f>
        <v>0</v>
      </c>
      <c r="AA13" s="245" t="e">
        <f>Z13/F13</f>
        <v>#DIV/0!</v>
      </c>
      <c r="AB13" s="117"/>
      <c r="AC13" s="117"/>
      <c r="AD13" s="117"/>
      <c r="AE13" s="117"/>
    </row>
    <row r="14" spans="1:31" ht="36" customHeight="1">
      <c r="A14" s="237"/>
      <c r="B14" s="122"/>
      <c r="C14" s="246"/>
      <c r="D14" s="237"/>
      <c r="E14" s="239"/>
      <c r="F14" s="239"/>
      <c r="G14" s="240"/>
      <c r="H14" s="239"/>
      <c r="I14" s="240"/>
      <c r="J14" s="239"/>
      <c r="K14" s="239"/>
      <c r="L14" s="240"/>
      <c r="M14" s="239"/>
      <c r="N14" s="240"/>
      <c r="O14" s="239"/>
      <c r="P14" s="239"/>
      <c r="Q14" s="240"/>
      <c r="R14" s="239"/>
      <c r="S14" s="239"/>
      <c r="T14" s="239"/>
      <c r="U14" s="239"/>
      <c r="V14" s="240"/>
      <c r="W14" s="239"/>
      <c r="X14" s="240"/>
      <c r="Y14" s="239"/>
      <c r="Z14" s="239"/>
      <c r="AA14" s="245"/>
      <c r="AB14" s="117"/>
      <c r="AC14" s="117"/>
      <c r="AD14" s="117"/>
      <c r="AE14" s="117"/>
    </row>
    <row r="15" spans="1:31" ht="49.95" customHeight="1">
      <c r="A15" s="237"/>
      <c r="B15" s="119"/>
      <c r="C15" s="120"/>
      <c r="D15" s="238"/>
      <c r="E15" s="239"/>
      <c r="F15" s="239">
        <f t="shared" ref="F15" si="1">D15*E15</f>
        <v>0</v>
      </c>
      <c r="G15" s="240"/>
      <c r="H15" s="239">
        <f>G15*$E15*$AB$8</f>
        <v>0</v>
      </c>
      <c r="I15" s="240"/>
      <c r="J15" s="239">
        <f>I15*E15*$AD$8</f>
        <v>0</v>
      </c>
      <c r="K15" s="239">
        <f>J15+H15</f>
        <v>0</v>
      </c>
      <c r="L15" s="240">
        <f>Q15-G15</f>
        <v>0</v>
      </c>
      <c r="M15" s="239">
        <f>L15*$E15*$AB$8</f>
        <v>0</v>
      </c>
      <c r="N15" s="240">
        <f>S15-I15</f>
        <v>0</v>
      </c>
      <c r="O15" s="239">
        <f>N15*$E15*$AD$8</f>
        <v>0</v>
      </c>
      <c r="P15" s="239">
        <f>O15+M15</f>
        <v>0</v>
      </c>
      <c r="Q15" s="240"/>
      <c r="R15" s="239">
        <f>Q15*$E15*$AB$8</f>
        <v>0</v>
      </c>
      <c r="S15" s="239"/>
      <c r="T15" s="239">
        <f>S15*$E15*$AD$8</f>
        <v>0</v>
      </c>
      <c r="U15" s="239">
        <f>T15+R15</f>
        <v>0</v>
      </c>
      <c r="V15" s="240">
        <f>D15-$Q15</f>
        <v>0</v>
      </c>
      <c r="W15" s="239">
        <f>V15*$E15*$AB$8</f>
        <v>0</v>
      </c>
      <c r="X15" s="240">
        <f>D15-S15</f>
        <v>0</v>
      </c>
      <c r="Y15" s="239">
        <f>X15*$E15*$AD$8</f>
        <v>0</v>
      </c>
      <c r="Z15" s="239">
        <f>Y15+W15</f>
        <v>0</v>
      </c>
      <c r="AA15" s="245" t="e">
        <f>Z15/F15</f>
        <v>#DIV/0!</v>
      </c>
      <c r="AB15" s="123"/>
      <c r="AC15" s="123"/>
      <c r="AD15" s="123"/>
      <c r="AE15" s="123"/>
    </row>
    <row r="16" spans="1:31" ht="49.95" customHeight="1">
      <c r="A16" s="237"/>
      <c r="B16" s="119"/>
      <c r="C16" s="120"/>
      <c r="D16" s="238"/>
      <c r="E16" s="239"/>
      <c r="F16" s="239"/>
      <c r="G16" s="240"/>
      <c r="H16" s="239"/>
      <c r="I16" s="240"/>
      <c r="J16" s="239"/>
      <c r="K16" s="239"/>
      <c r="L16" s="240"/>
      <c r="M16" s="239"/>
      <c r="N16" s="240"/>
      <c r="O16" s="239"/>
      <c r="P16" s="239"/>
      <c r="Q16" s="240"/>
      <c r="R16" s="239"/>
      <c r="S16" s="239"/>
      <c r="T16" s="239"/>
      <c r="U16" s="239"/>
      <c r="V16" s="240"/>
      <c r="W16" s="239"/>
      <c r="X16" s="240"/>
      <c r="Y16" s="239"/>
      <c r="Z16" s="239"/>
      <c r="AA16" s="245"/>
      <c r="AB16" s="123"/>
      <c r="AC16" s="123"/>
      <c r="AD16" s="123"/>
      <c r="AE16" s="123"/>
    </row>
    <row r="17" spans="1:31" ht="20.100000000000001" customHeight="1">
      <c r="A17" s="237"/>
      <c r="B17" s="121"/>
      <c r="C17" s="120"/>
      <c r="D17" s="238"/>
      <c r="E17" s="239"/>
      <c r="F17" s="239">
        <f t="shared" ref="F17" si="2">D17*E17</f>
        <v>0</v>
      </c>
      <c r="G17" s="240"/>
      <c r="H17" s="239">
        <f>G17*$E17*$AB$8</f>
        <v>0</v>
      </c>
      <c r="I17" s="240"/>
      <c r="J17" s="239">
        <f>I17*E17*$AD$8</f>
        <v>0</v>
      </c>
      <c r="K17" s="239">
        <f>J17+H17</f>
        <v>0</v>
      </c>
      <c r="L17" s="240">
        <f>Q17-G17</f>
        <v>0</v>
      </c>
      <c r="M17" s="239">
        <f>L17*$E17*$AB$8</f>
        <v>0</v>
      </c>
      <c r="N17" s="240">
        <f>S17-I17</f>
        <v>0</v>
      </c>
      <c r="O17" s="239">
        <f>N17*$E17*$AD$8</f>
        <v>0</v>
      </c>
      <c r="P17" s="239">
        <f>O17+M17</f>
        <v>0</v>
      </c>
      <c r="Q17" s="240"/>
      <c r="R17" s="239">
        <f>Q17*$E17*$AB$8</f>
        <v>0</v>
      </c>
      <c r="S17" s="239"/>
      <c r="T17" s="239">
        <f>S17*$E17*$AD$8</f>
        <v>0</v>
      </c>
      <c r="U17" s="239">
        <f>T17+R17</f>
        <v>0</v>
      </c>
      <c r="V17" s="240">
        <f>D17-$Q17</f>
        <v>0</v>
      </c>
      <c r="W17" s="239">
        <f>V17*$E17*$AB$8</f>
        <v>0</v>
      </c>
      <c r="X17" s="240">
        <f>D17-S17</f>
        <v>0</v>
      </c>
      <c r="Y17" s="239">
        <f>X17*$E17*$AD$8</f>
        <v>0</v>
      </c>
      <c r="Z17" s="239">
        <f>Y17+W17</f>
        <v>0</v>
      </c>
      <c r="AA17" s="245" t="e">
        <f>Z17/F17</f>
        <v>#DIV/0!</v>
      </c>
      <c r="AB17" s="117"/>
      <c r="AC17" s="117"/>
      <c r="AD17" s="117"/>
      <c r="AE17" s="117"/>
    </row>
    <row r="18" spans="1:31" ht="20.100000000000001" customHeight="1">
      <c r="A18" s="237"/>
      <c r="B18" s="122"/>
      <c r="C18" s="120"/>
      <c r="D18" s="238"/>
      <c r="E18" s="239"/>
      <c r="F18" s="239"/>
      <c r="G18" s="240"/>
      <c r="H18" s="239"/>
      <c r="I18" s="240"/>
      <c r="J18" s="239"/>
      <c r="K18" s="239"/>
      <c r="L18" s="240"/>
      <c r="M18" s="239"/>
      <c r="N18" s="240"/>
      <c r="O18" s="239"/>
      <c r="P18" s="239"/>
      <c r="Q18" s="240"/>
      <c r="R18" s="239"/>
      <c r="S18" s="239"/>
      <c r="T18" s="239"/>
      <c r="U18" s="239"/>
      <c r="V18" s="240"/>
      <c r="W18" s="239"/>
      <c r="X18" s="240"/>
      <c r="Y18" s="239"/>
      <c r="Z18" s="239"/>
      <c r="AA18" s="245"/>
      <c r="AB18" s="117"/>
      <c r="AC18" s="117"/>
      <c r="AD18" s="117"/>
      <c r="AE18" s="117"/>
    </row>
    <row r="19" spans="1:31" ht="15.6">
      <c r="A19" s="124" t="s">
        <v>179</v>
      </c>
      <c r="B19" s="236" t="s">
        <v>180</v>
      </c>
      <c r="C19" s="236"/>
      <c r="D19" s="236"/>
      <c r="E19" s="236"/>
      <c r="F19" s="125">
        <f>SUM(F11:F18)</f>
        <v>0</v>
      </c>
      <c r="G19" s="124"/>
      <c r="H19" s="125">
        <f>SUM(H11:H18)</f>
        <v>0</v>
      </c>
      <c r="I19" s="124"/>
      <c r="J19" s="125">
        <f>SUM(J11:J18)</f>
        <v>0</v>
      </c>
      <c r="K19" s="125">
        <f>SUM(K11:K18)</f>
        <v>0</v>
      </c>
      <c r="L19" s="124"/>
      <c r="M19" s="125">
        <f>SUM(M11:M18)</f>
        <v>0</v>
      </c>
      <c r="N19" s="124"/>
      <c r="O19" s="125">
        <f>SUM(O11:O18)</f>
        <v>0</v>
      </c>
      <c r="P19" s="125">
        <f>SUM(P11:P18)</f>
        <v>0</v>
      </c>
      <c r="Q19" s="124"/>
      <c r="R19" s="125">
        <f>SUM(R11:R18)</f>
        <v>0</v>
      </c>
      <c r="S19" s="126"/>
      <c r="T19" s="125">
        <f>SUM(T11:T18)</f>
        <v>0</v>
      </c>
      <c r="U19" s="125">
        <f>SUM(U11:U18)</f>
        <v>0</v>
      </c>
      <c r="V19" s="124"/>
      <c r="W19" s="125">
        <f>SUM(W11:W18)</f>
        <v>0</v>
      </c>
      <c r="X19" s="124"/>
      <c r="Y19" s="125">
        <f>SUM(Y11:Y18)</f>
        <v>0</v>
      </c>
      <c r="Z19" s="125">
        <f>SUM(Z11:Z18)</f>
        <v>0</v>
      </c>
      <c r="AA19" s="127" t="e">
        <f>Z19/F19</f>
        <v>#DIV/0!</v>
      </c>
      <c r="AB19" s="123"/>
      <c r="AC19" s="123"/>
      <c r="AD19" s="123"/>
      <c r="AE19" s="123"/>
    </row>
    <row r="20" spans="1:31" ht="15.6">
      <c r="A20" s="247" t="s">
        <v>181</v>
      </c>
      <c r="B20" s="128" t="s">
        <v>122</v>
      </c>
      <c r="C20" s="249"/>
      <c r="D20" s="249"/>
      <c r="E20" s="250"/>
      <c r="F20" s="250"/>
      <c r="G20" s="240"/>
      <c r="H20" s="239">
        <f>(H19/50)*5*(50/70)</f>
        <v>0</v>
      </c>
      <c r="I20" s="240"/>
      <c r="J20" s="239">
        <f>(J19/20)*5*(20/70)</f>
        <v>0</v>
      </c>
      <c r="K20" s="239">
        <f>H20+J20</f>
        <v>0</v>
      </c>
      <c r="L20" s="240"/>
      <c r="M20" s="239">
        <f>(M19/50)*5*(50/70)</f>
        <v>0</v>
      </c>
      <c r="N20" s="240"/>
      <c r="O20" s="239">
        <f>(O19/20)*5*(20/70)</f>
        <v>0</v>
      </c>
      <c r="P20" s="239">
        <f>M20+O20</f>
        <v>0</v>
      </c>
      <c r="Q20" s="240"/>
      <c r="R20" s="239">
        <f>(R19/50)*5*(50/70)</f>
        <v>0</v>
      </c>
      <c r="S20" s="239"/>
      <c r="T20" s="239">
        <f>(T19/20)*5*(20/70)</f>
        <v>0</v>
      </c>
      <c r="U20" s="239">
        <f>R20+T20</f>
        <v>0</v>
      </c>
      <c r="V20" s="240"/>
      <c r="W20" s="239"/>
      <c r="X20" s="240"/>
      <c r="Y20" s="239"/>
      <c r="Z20" s="239"/>
      <c r="AA20" s="239"/>
    </row>
    <row r="21" spans="1:31" ht="15.6">
      <c r="A21" s="248"/>
      <c r="B21" s="128" t="s">
        <v>123</v>
      </c>
      <c r="C21" s="249"/>
      <c r="D21" s="249"/>
      <c r="E21" s="250"/>
      <c r="F21" s="250"/>
      <c r="G21" s="240"/>
      <c r="H21" s="239"/>
      <c r="I21" s="240"/>
      <c r="J21" s="239"/>
      <c r="K21" s="239"/>
      <c r="L21" s="240"/>
      <c r="M21" s="239"/>
      <c r="N21" s="240"/>
      <c r="O21" s="239"/>
      <c r="P21" s="239"/>
      <c r="Q21" s="240"/>
      <c r="R21" s="239"/>
      <c r="S21" s="239"/>
      <c r="T21" s="239"/>
      <c r="U21" s="239"/>
      <c r="V21" s="240"/>
      <c r="W21" s="239"/>
      <c r="X21" s="240"/>
      <c r="Y21" s="239"/>
      <c r="Z21" s="239"/>
      <c r="AA21" s="239"/>
    </row>
    <row r="22" spans="1:31" ht="15.6">
      <c r="A22" s="248"/>
      <c r="B22" s="128" t="s">
        <v>126</v>
      </c>
      <c r="C22" s="249"/>
      <c r="D22" s="249"/>
      <c r="E22" s="250"/>
      <c r="F22" s="250"/>
      <c r="G22" s="240"/>
      <c r="H22" s="239">
        <f>(H19/50)*5*(50/70)</f>
        <v>0</v>
      </c>
      <c r="I22" s="240"/>
      <c r="J22" s="239">
        <f>(J19/20)*5*(20/70)</f>
        <v>0</v>
      </c>
      <c r="K22" s="239">
        <f>H22+J22</f>
        <v>0</v>
      </c>
      <c r="L22" s="240"/>
      <c r="M22" s="239">
        <f>(M19/50)*5*(50/70)</f>
        <v>0</v>
      </c>
      <c r="N22" s="240"/>
      <c r="O22" s="239">
        <f>(O19/20)*5*(20/70)</f>
        <v>0</v>
      </c>
      <c r="P22" s="239">
        <f>M22+O22</f>
        <v>0</v>
      </c>
      <c r="Q22" s="240"/>
      <c r="R22" s="239">
        <f>(R19/50)*5*(50/70)</f>
        <v>0</v>
      </c>
      <c r="S22" s="239"/>
      <c r="T22" s="239">
        <f>(T19/20)*5*(20/70)</f>
        <v>0</v>
      </c>
      <c r="U22" s="239">
        <f>R22+T22</f>
        <v>0</v>
      </c>
      <c r="V22" s="240"/>
      <c r="W22" s="239"/>
      <c r="X22" s="240"/>
      <c r="Y22" s="239"/>
      <c r="Z22" s="239"/>
      <c r="AA22" s="239"/>
    </row>
    <row r="23" spans="1:31" ht="15.6">
      <c r="A23" s="248"/>
      <c r="B23" s="128" t="s">
        <v>127</v>
      </c>
      <c r="C23" s="249"/>
      <c r="D23" s="249"/>
      <c r="E23" s="250"/>
      <c r="F23" s="250"/>
      <c r="G23" s="240"/>
      <c r="H23" s="239"/>
      <c r="I23" s="240"/>
      <c r="J23" s="239"/>
      <c r="K23" s="239"/>
      <c r="L23" s="240"/>
      <c r="M23" s="239"/>
      <c r="N23" s="240"/>
      <c r="O23" s="239"/>
      <c r="P23" s="239"/>
      <c r="Q23" s="240"/>
      <c r="R23" s="239"/>
      <c r="S23" s="239"/>
      <c r="T23" s="239"/>
      <c r="U23" s="239"/>
      <c r="V23" s="240"/>
      <c r="W23" s="239"/>
      <c r="X23" s="240"/>
      <c r="Y23" s="239"/>
      <c r="Z23" s="239"/>
      <c r="AA23" s="239"/>
    </row>
    <row r="24" spans="1:31" ht="15.6">
      <c r="A24" s="248"/>
      <c r="B24" s="128" t="s">
        <v>182</v>
      </c>
      <c r="C24" s="249"/>
      <c r="D24" s="249"/>
      <c r="E24" s="250"/>
      <c r="F24" s="250"/>
      <c r="G24" s="240"/>
      <c r="H24" s="239">
        <f>(H19/50)*20*(50/70)</f>
        <v>0</v>
      </c>
      <c r="I24" s="240"/>
      <c r="J24" s="239">
        <f>(J19/20)*20*(20/70)</f>
        <v>0</v>
      </c>
      <c r="K24" s="239">
        <f>H24+J24</f>
        <v>0</v>
      </c>
      <c r="L24" s="240"/>
      <c r="M24" s="239">
        <f>(M19/50)*20*(50/70)</f>
        <v>0</v>
      </c>
      <c r="N24" s="240"/>
      <c r="O24" s="239">
        <f>(O19/20)*20*(20/70)</f>
        <v>0</v>
      </c>
      <c r="P24" s="239">
        <f>M24+O24</f>
        <v>0</v>
      </c>
      <c r="Q24" s="240"/>
      <c r="R24" s="239">
        <f>(R19/50)*20*(50/70)</f>
        <v>0</v>
      </c>
      <c r="S24" s="239"/>
      <c r="T24" s="239">
        <f>(T19/20)*20*(20/70)</f>
        <v>0</v>
      </c>
      <c r="U24" s="239">
        <f>R24+T24</f>
        <v>0</v>
      </c>
      <c r="V24" s="240"/>
      <c r="W24" s="239"/>
      <c r="X24" s="240"/>
      <c r="Y24" s="239"/>
      <c r="Z24" s="239"/>
      <c r="AA24" s="239"/>
    </row>
    <row r="25" spans="1:31" ht="15.6">
      <c r="A25" s="248"/>
      <c r="B25" s="128" t="s">
        <v>183</v>
      </c>
      <c r="C25" s="249"/>
      <c r="D25" s="249"/>
      <c r="E25" s="250"/>
      <c r="F25" s="250"/>
      <c r="G25" s="240"/>
      <c r="H25" s="239"/>
      <c r="I25" s="240"/>
      <c r="J25" s="239"/>
      <c r="K25" s="239"/>
      <c r="L25" s="240"/>
      <c r="M25" s="239"/>
      <c r="N25" s="240"/>
      <c r="O25" s="239"/>
      <c r="P25" s="239"/>
      <c r="Q25" s="240"/>
      <c r="R25" s="239"/>
      <c r="S25" s="239"/>
      <c r="T25" s="239"/>
      <c r="U25" s="239"/>
      <c r="V25" s="240"/>
      <c r="W25" s="239"/>
      <c r="X25" s="240"/>
      <c r="Y25" s="239"/>
      <c r="Z25" s="239"/>
      <c r="AA25" s="239"/>
    </row>
    <row r="26" spans="1:31" ht="25.2" customHeight="1">
      <c r="B26" s="129"/>
      <c r="D26" s="130"/>
      <c r="E26" s="130"/>
      <c r="F26" s="130"/>
      <c r="T26" s="64"/>
      <c r="U26" s="131"/>
      <c r="V26" s="132"/>
      <c r="W26" s="64"/>
    </row>
    <row r="27" spans="1:31" ht="25.2" customHeight="1">
      <c r="B27" s="129"/>
      <c r="D27" s="130"/>
      <c r="E27" s="130"/>
      <c r="F27" s="130"/>
      <c r="T27" s="64"/>
      <c r="U27" s="131"/>
      <c r="V27" s="132"/>
      <c r="W27" s="64"/>
    </row>
    <row r="28" spans="1:31" ht="25.2" customHeight="1">
      <c r="B28" s="129"/>
      <c r="D28" s="130"/>
      <c r="E28" s="130"/>
      <c r="F28" s="130"/>
      <c r="T28" s="64"/>
      <c r="U28" s="64"/>
      <c r="V28" s="132"/>
      <c r="W28" s="64"/>
    </row>
    <row r="29" spans="1:31" ht="25.2" customHeight="1">
      <c r="B29" s="129"/>
      <c r="D29" s="130"/>
      <c r="E29" s="130"/>
      <c r="F29" s="130"/>
    </row>
    <row r="30" spans="1:31" ht="25.2" customHeight="1">
      <c r="B30" s="129"/>
      <c r="D30" s="130"/>
      <c r="E30" s="130"/>
      <c r="F30" s="130"/>
    </row>
    <row r="31" spans="1:31" ht="25.2" customHeight="1">
      <c r="B31" s="129"/>
      <c r="D31" s="130"/>
      <c r="E31" s="130"/>
      <c r="F31" s="130"/>
    </row>
    <row r="32" spans="1:31" ht="25.2" customHeight="1">
      <c r="B32" s="129"/>
      <c r="D32" s="130"/>
      <c r="E32" s="130"/>
      <c r="F32" s="130"/>
    </row>
    <row r="33" spans="2:6" ht="25.2" customHeight="1">
      <c r="B33" s="129"/>
      <c r="D33" s="130"/>
      <c r="E33" s="130"/>
      <c r="F33" s="130"/>
    </row>
    <row r="34" spans="2:6" ht="25.2" customHeight="1">
      <c r="B34" s="129"/>
      <c r="D34" s="130"/>
      <c r="E34" s="130"/>
      <c r="F34" s="130"/>
    </row>
    <row r="35" spans="2:6" ht="25.2" customHeight="1">
      <c r="B35" s="129"/>
      <c r="D35" s="130"/>
      <c r="E35" s="130"/>
      <c r="F35" s="130"/>
    </row>
    <row r="36" spans="2:6" ht="25.2" customHeight="1">
      <c r="B36" s="129"/>
      <c r="D36" s="130"/>
      <c r="E36" s="130"/>
      <c r="F36" s="130"/>
    </row>
    <row r="37" spans="2:6" ht="25.2" customHeight="1">
      <c r="B37" s="129"/>
      <c r="D37" s="130"/>
      <c r="E37" s="130"/>
      <c r="F37" s="130"/>
    </row>
    <row r="38" spans="2:6" ht="25.2" customHeight="1">
      <c r="B38" s="129"/>
      <c r="D38" s="130"/>
      <c r="E38" s="130"/>
      <c r="F38" s="130"/>
    </row>
    <row r="39" spans="2:6" ht="25.2" customHeight="1">
      <c r="B39" s="129"/>
      <c r="D39" s="130"/>
      <c r="E39" s="130"/>
      <c r="F39" s="130"/>
    </row>
    <row r="40" spans="2:6" ht="25.2" customHeight="1">
      <c r="B40" s="129"/>
      <c r="D40" s="130"/>
      <c r="E40" s="130"/>
      <c r="F40" s="130"/>
    </row>
    <row r="41" spans="2:6" ht="25.2" customHeight="1">
      <c r="B41" s="129"/>
      <c r="D41" s="130"/>
      <c r="E41" s="130"/>
      <c r="F41" s="130"/>
    </row>
    <row r="42" spans="2:6" ht="25.2" customHeight="1">
      <c r="B42" s="129"/>
      <c r="D42" s="130"/>
      <c r="E42" s="130"/>
      <c r="F42" s="130"/>
    </row>
    <row r="43" spans="2:6" ht="25.2" customHeight="1">
      <c r="B43" s="129"/>
      <c r="D43" s="130"/>
      <c r="E43" s="130"/>
      <c r="F43" s="130"/>
    </row>
  </sheetData>
  <autoFilter ref="A6:F25" xr:uid="{00000000-0009-0000-0000-000002000000}"/>
  <mergeCells count="204">
    <mergeCell ref="AA24:AA25"/>
    <mergeCell ref="U24:U25"/>
    <mergeCell ref="V24:V25"/>
    <mergeCell ref="W24:W25"/>
    <mergeCell ref="X24:X25"/>
    <mergeCell ref="Y24:Y25"/>
    <mergeCell ref="Z24:Z25"/>
    <mergeCell ref="O24:O25"/>
    <mergeCell ref="P24:P25"/>
    <mergeCell ref="Q24:Q25"/>
    <mergeCell ref="R24:R25"/>
    <mergeCell ref="S24:S25"/>
    <mergeCell ref="T24:T25"/>
    <mergeCell ref="I24:I25"/>
    <mergeCell ref="J24:J25"/>
    <mergeCell ref="K24:K25"/>
    <mergeCell ref="L24:L25"/>
    <mergeCell ref="M24:M25"/>
    <mergeCell ref="N24:N25"/>
    <mergeCell ref="C24:C25"/>
    <mergeCell ref="D24:D25"/>
    <mergeCell ref="E24:E25"/>
    <mergeCell ref="F24:F25"/>
    <mergeCell ref="G24:G25"/>
    <mergeCell ref="H24:H25"/>
    <mergeCell ref="M22:M23"/>
    <mergeCell ref="N22:N23"/>
    <mergeCell ref="O22:O23"/>
    <mergeCell ref="Y20:Y21"/>
    <mergeCell ref="Z20:Z21"/>
    <mergeCell ref="AA20:AA21"/>
    <mergeCell ref="U20:U21"/>
    <mergeCell ref="V20:V21"/>
    <mergeCell ref="W20:W21"/>
    <mergeCell ref="X20:X21"/>
    <mergeCell ref="V22:V23"/>
    <mergeCell ref="W22:W23"/>
    <mergeCell ref="X22:X23"/>
    <mergeCell ref="Y22:Y23"/>
    <mergeCell ref="Z22:Z23"/>
    <mergeCell ref="AA22:AA23"/>
    <mergeCell ref="P22:P23"/>
    <mergeCell ref="Q22:Q23"/>
    <mergeCell ref="R22:R23"/>
    <mergeCell ref="S22:S23"/>
    <mergeCell ref="T22:T23"/>
    <mergeCell ref="U22:U23"/>
    <mergeCell ref="C22:C23"/>
    <mergeCell ref="D22:D23"/>
    <mergeCell ref="E22:E23"/>
    <mergeCell ref="F22:F23"/>
    <mergeCell ref="G22:G23"/>
    <mergeCell ref="H22:H23"/>
    <mergeCell ref="I22:I23"/>
    <mergeCell ref="S20:S21"/>
    <mergeCell ref="T20:T21"/>
    <mergeCell ref="M20:M21"/>
    <mergeCell ref="N20:N21"/>
    <mergeCell ref="O20:O21"/>
    <mergeCell ref="P20:P21"/>
    <mergeCell ref="Q20:Q21"/>
    <mergeCell ref="R20:R21"/>
    <mergeCell ref="G20:G21"/>
    <mergeCell ref="H20:H21"/>
    <mergeCell ref="I20:I21"/>
    <mergeCell ref="J20:J21"/>
    <mergeCell ref="K20:K21"/>
    <mergeCell ref="L20:L21"/>
    <mergeCell ref="J22:J23"/>
    <mergeCell ref="K22:K23"/>
    <mergeCell ref="L22:L23"/>
    <mergeCell ref="I15:I16"/>
    <mergeCell ref="J15:J16"/>
    <mergeCell ref="X17:X18"/>
    <mergeCell ref="Y17:Y18"/>
    <mergeCell ref="Z17:Z18"/>
    <mergeCell ref="AA17:AA18"/>
    <mergeCell ref="B19:E19"/>
    <mergeCell ref="A20:A25"/>
    <mergeCell ref="C20:C21"/>
    <mergeCell ref="D20:D21"/>
    <mergeCell ref="E20:E21"/>
    <mergeCell ref="F20:F21"/>
    <mergeCell ref="R17:R18"/>
    <mergeCell ref="S17:S18"/>
    <mergeCell ref="T17:T18"/>
    <mergeCell ref="U17:U18"/>
    <mergeCell ref="V17:V18"/>
    <mergeCell ref="W17:W18"/>
    <mergeCell ref="L17:L18"/>
    <mergeCell ref="M17:M18"/>
    <mergeCell ref="N17:N18"/>
    <mergeCell ref="O17:O18"/>
    <mergeCell ref="P17:P18"/>
    <mergeCell ref="Q17:Q18"/>
    <mergeCell ref="A15:A16"/>
    <mergeCell ref="D15:D16"/>
    <mergeCell ref="E15:E16"/>
    <mergeCell ref="F15:F16"/>
    <mergeCell ref="G15:G16"/>
    <mergeCell ref="H15:H16"/>
    <mergeCell ref="AA15:AA16"/>
    <mergeCell ref="A17:A18"/>
    <mergeCell ref="D17:D18"/>
    <mergeCell ref="E17:E18"/>
    <mergeCell ref="F17:F18"/>
    <mergeCell ref="G17:G18"/>
    <mergeCell ref="H17:H18"/>
    <mergeCell ref="I17:I18"/>
    <mergeCell ref="J17:J18"/>
    <mergeCell ref="K17:K18"/>
    <mergeCell ref="U15:U16"/>
    <mergeCell ref="V15:V16"/>
    <mergeCell ref="W15:W16"/>
    <mergeCell ref="X15:X16"/>
    <mergeCell ref="Y15:Y16"/>
    <mergeCell ref="Z15:Z16"/>
    <mergeCell ref="O15:O16"/>
    <mergeCell ref="P15:P16"/>
    <mergeCell ref="AA13:AA14"/>
    <mergeCell ref="P13:P14"/>
    <mergeCell ref="Q13:Q14"/>
    <mergeCell ref="R13:R14"/>
    <mergeCell ref="S13:S14"/>
    <mergeCell ref="T13:T14"/>
    <mergeCell ref="U13:U14"/>
    <mergeCell ref="K15:K16"/>
    <mergeCell ref="L15:L16"/>
    <mergeCell ref="M15:M16"/>
    <mergeCell ref="N15:N16"/>
    <mergeCell ref="Q15:Q16"/>
    <mergeCell ref="R15:R16"/>
    <mergeCell ref="S15:S16"/>
    <mergeCell ref="T15:T16"/>
    <mergeCell ref="O13:O14"/>
    <mergeCell ref="Z11:Z12"/>
    <mergeCell ref="AA11:AA12"/>
    <mergeCell ref="A13:A14"/>
    <mergeCell ref="C13:C14"/>
    <mergeCell ref="D13:D14"/>
    <mergeCell ref="E13:E14"/>
    <mergeCell ref="F13:F14"/>
    <mergeCell ref="G13:G14"/>
    <mergeCell ref="H13:H14"/>
    <mergeCell ref="I13:I14"/>
    <mergeCell ref="T11:T12"/>
    <mergeCell ref="U11:U12"/>
    <mergeCell ref="V11:V12"/>
    <mergeCell ref="W11:W12"/>
    <mergeCell ref="X11:X12"/>
    <mergeCell ref="Y11:Y12"/>
    <mergeCell ref="N11:N12"/>
    <mergeCell ref="O11:O12"/>
    <mergeCell ref="V13:V14"/>
    <mergeCell ref="W13:W14"/>
    <mergeCell ref="X13:X14"/>
    <mergeCell ref="Y13:Y14"/>
    <mergeCell ref="Z13:Z14"/>
    <mergeCell ref="J11:J12"/>
    <mergeCell ref="K11:K12"/>
    <mergeCell ref="L11:L12"/>
    <mergeCell ref="M11:M12"/>
    <mergeCell ref="J13:J14"/>
    <mergeCell ref="K13:K14"/>
    <mergeCell ref="L13:L14"/>
    <mergeCell ref="M13:M14"/>
    <mergeCell ref="N13:N14"/>
    <mergeCell ref="AB8:AC8"/>
    <mergeCell ref="AD8:AE8"/>
    <mergeCell ref="A11:A12"/>
    <mergeCell ref="D11:D12"/>
    <mergeCell ref="E11:E12"/>
    <mergeCell ref="F11:F12"/>
    <mergeCell ref="G11:G12"/>
    <mergeCell ref="AB6:AC7"/>
    <mergeCell ref="AD6:AE7"/>
    <mergeCell ref="B7:B8"/>
    <mergeCell ref="C7:C8"/>
    <mergeCell ref="D7:D8"/>
    <mergeCell ref="E7:E8"/>
    <mergeCell ref="F7:F8"/>
    <mergeCell ref="G7:H7"/>
    <mergeCell ref="I7:J7"/>
    <mergeCell ref="L7:M7"/>
    <mergeCell ref="P11:P12"/>
    <mergeCell ref="Q11:Q12"/>
    <mergeCell ref="R11:R12"/>
    <mergeCell ref="S11:S12"/>
    <mergeCell ref="H11:H12"/>
    <mergeCell ref="I11:I12"/>
    <mergeCell ref="B1:AA1"/>
    <mergeCell ref="D4:H4"/>
    <mergeCell ref="A5:AA5"/>
    <mergeCell ref="A6:A8"/>
    <mergeCell ref="G6:K6"/>
    <mergeCell ref="L6:P6"/>
    <mergeCell ref="Q6:U6"/>
    <mergeCell ref="V6:Z6"/>
    <mergeCell ref="AA6:AA7"/>
    <mergeCell ref="N7:O7"/>
    <mergeCell ref="Q7:R7"/>
    <mergeCell ref="S7:T7"/>
    <mergeCell ref="V7:W7"/>
    <mergeCell ref="X7:Y7"/>
  </mergeCells>
  <printOptions horizontalCentered="1"/>
  <pageMargins left="0.2" right="0.2" top="1.1013888888888901" bottom="0.25138888888888899" header="0.297916666666667" footer="0.297916666666667"/>
  <pageSetup paperSize="9" scale="27" fitToHeight="0" orientation="landscape" r:id="rId1"/>
  <headerFooter scaleWithDoc="0" alignWithMargins="0">
    <oddHeader>&amp;C&amp;G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P20"/>
  <sheetViews>
    <sheetView view="pageBreakPreview" zoomScale="55" zoomScaleNormal="85" zoomScaleSheetLayoutView="55" workbookViewId="0">
      <pane xSplit="5" ySplit="9" topLeftCell="F10" activePane="bottomRight" state="frozen"/>
      <selection activeCell="D18" sqref="D18"/>
      <selection pane="topRight" activeCell="D18" sqref="D18"/>
      <selection pane="bottomLeft" activeCell="D18" sqref="D18"/>
      <selection pane="bottomRight" activeCell="P6" sqref="P6"/>
    </sheetView>
  </sheetViews>
  <sheetFormatPr defaultColWidth="9.109375" defaultRowHeight="35.1" customHeight="1"/>
  <cols>
    <col min="1" max="1" width="12" style="1" customWidth="1"/>
    <col min="2" max="2" width="100.6640625" style="1" customWidth="1"/>
    <col min="3" max="5" width="15.6640625" style="1" customWidth="1"/>
    <col min="6" max="6" width="20.6640625" style="1" customWidth="1"/>
    <col min="7" max="7" width="17.5546875" style="1" customWidth="1"/>
    <col min="8" max="8" width="18.6640625" style="1" customWidth="1"/>
    <col min="9" max="9" width="18.21875" style="1" customWidth="1"/>
    <col min="10" max="10" width="16.109375" style="1" customWidth="1"/>
    <col min="11" max="11" width="17.44140625" style="1" customWidth="1"/>
    <col min="12" max="12" width="18.33203125" style="1" customWidth="1"/>
    <col min="13" max="13" width="13.6640625" style="1" customWidth="1"/>
    <col min="14" max="14" width="17.5546875" style="1" customWidth="1"/>
    <col min="15" max="15" width="19.109375" style="1" customWidth="1"/>
    <col min="16" max="16" width="15.21875" style="1" customWidth="1"/>
    <col min="17" max="16384" width="9.109375" style="1"/>
  </cols>
  <sheetData>
    <row r="1" spans="1:16" ht="33" customHeight="1">
      <c r="A1" s="106"/>
      <c r="B1" s="324" t="str">
        <f>'Bill Summary'!B1:O1</f>
        <v xml:space="preserve">Name of a project /  Название котракту             </v>
      </c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</row>
    <row r="2" spans="1:16" ht="79.5" customHeight="1">
      <c r="A2" s="106"/>
      <c r="B2" s="324" t="str">
        <f>'Bill Summary'!B2:O2</f>
        <v>Contract identifier / 
Идентификатор контракта</v>
      </c>
      <c r="C2" s="324"/>
      <c r="D2" s="324"/>
      <c r="E2" s="324"/>
      <c r="F2" s="324"/>
      <c r="G2" s="324"/>
      <c r="H2" s="324"/>
      <c r="I2" s="324"/>
      <c r="J2" s="324"/>
      <c r="K2" s="324"/>
      <c r="L2" s="324"/>
      <c r="M2" s="324"/>
      <c r="N2" s="324"/>
      <c r="O2" s="324"/>
    </row>
    <row r="3" spans="1:16" ht="27.9" customHeight="1">
      <c r="A3" s="106"/>
      <c r="B3" s="213" t="str">
        <f>'Bill Summary'!B3:J3</f>
        <v>IPC #   / СПП № #</v>
      </c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</row>
    <row r="4" spans="1:16" ht="31.2" customHeight="1">
      <c r="A4" s="106"/>
      <c r="B4" s="321" t="str">
        <f>'Bill Summary'!B4:C4</f>
        <v>Start of Works/ Начало работ :  DD.MM.YYYY</v>
      </c>
      <c r="C4" s="321"/>
      <c r="D4" s="35"/>
      <c r="E4" s="35"/>
      <c r="F4" s="35"/>
      <c r="G4" s="33"/>
      <c r="H4" s="35"/>
      <c r="I4" s="333" t="s">
        <v>48</v>
      </c>
      <c r="J4" s="333"/>
      <c r="K4" s="333"/>
      <c r="L4" s="333"/>
      <c r="M4" s="333" t="str">
        <f>'Cover of IPC '!D7</f>
        <v>DD.MM.YYYY - DD.MM.YYYY</v>
      </c>
      <c r="N4" s="333"/>
      <c r="O4" s="333"/>
    </row>
    <row r="5" spans="1:16" ht="26.25" customHeight="1">
      <c r="A5" s="332" t="s">
        <v>184</v>
      </c>
      <c r="B5" s="332"/>
      <c r="C5" s="332"/>
      <c r="D5" s="332"/>
      <c r="E5" s="332"/>
      <c r="F5" s="332"/>
      <c r="G5" s="332"/>
      <c r="H5" s="332"/>
      <c r="I5" s="332"/>
      <c r="J5" s="332"/>
      <c r="K5" s="332"/>
      <c r="L5" s="332"/>
      <c r="M5" s="332"/>
      <c r="N5" s="332"/>
      <c r="O5" s="332"/>
    </row>
    <row r="6" spans="1:16" ht="69.75" customHeight="1">
      <c r="A6" s="253" t="s">
        <v>185</v>
      </c>
      <c r="B6" s="112" t="s">
        <v>140</v>
      </c>
      <c r="C6" s="112" t="s">
        <v>141</v>
      </c>
      <c r="D6" s="113" t="s">
        <v>142</v>
      </c>
      <c r="E6" s="114" t="s">
        <v>143</v>
      </c>
      <c r="F6" s="114" t="s">
        <v>144</v>
      </c>
      <c r="G6" s="232" t="s">
        <v>145</v>
      </c>
      <c r="H6" s="232"/>
      <c r="I6" s="232" t="s">
        <v>146</v>
      </c>
      <c r="J6" s="232"/>
      <c r="K6" s="232" t="s">
        <v>147</v>
      </c>
      <c r="L6" s="232"/>
      <c r="M6" s="232" t="s">
        <v>148</v>
      </c>
      <c r="N6" s="232"/>
      <c r="O6" s="115" t="s">
        <v>149</v>
      </c>
      <c r="P6" s="346" t="s">
        <v>258</v>
      </c>
    </row>
    <row r="7" spans="1:16" ht="49.95" customHeight="1">
      <c r="A7" s="253"/>
      <c r="B7" s="113" t="s">
        <v>152</v>
      </c>
      <c r="C7" s="133" t="s">
        <v>153</v>
      </c>
      <c r="D7" s="133" t="s">
        <v>154</v>
      </c>
      <c r="E7" s="134" t="s">
        <v>155</v>
      </c>
      <c r="F7" s="134" t="s">
        <v>156</v>
      </c>
      <c r="G7" s="115" t="s">
        <v>158</v>
      </c>
      <c r="H7" s="115" t="s">
        <v>159</v>
      </c>
      <c r="I7" s="115" t="s">
        <v>158</v>
      </c>
      <c r="J7" s="115" t="s">
        <v>159</v>
      </c>
      <c r="K7" s="115" t="s">
        <v>158</v>
      </c>
      <c r="L7" s="115" t="s">
        <v>159</v>
      </c>
      <c r="M7" s="115" t="s">
        <v>158</v>
      </c>
      <c r="N7" s="115" t="s">
        <v>159</v>
      </c>
      <c r="O7" s="135" t="s">
        <v>63</v>
      </c>
      <c r="P7" s="136">
        <v>0.8</v>
      </c>
    </row>
    <row r="8" spans="1:16" ht="25.2" customHeight="1">
      <c r="A8" s="137"/>
      <c r="B8" s="254"/>
      <c r="C8" s="254"/>
      <c r="D8" s="254"/>
      <c r="E8" s="254"/>
      <c r="F8" s="254"/>
      <c r="G8" s="138"/>
      <c r="H8" s="138"/>
      <c r="I8" s="138"/>
      <c r="J8" s="138"/>
      <c r="K8" s="138"/>
      <c r="L8" s="138"/>
      <c r="M8" s="138"/>
      <c r="N8" s="138"/>
      <c r="O8" s="139"/>
      <c r="P8" s="140"/>
    </row>
    <row r="9" spans="1:16" ht="25.2" customHeight="1">
      <c r="A9" s="137"/>
      <c r="B9" s="141"/>
      <c r="C9" s="141"/>
      <c r="D9" s="141" t="s">
        <v>109</v>
      </c>
      <c r="E9" s="141" t="s">
        <v>109</v>
      </c>
      <c r="F9" s="141" t="s">
        <v>109</v>
      </c>
      <c r="G9" s="141" t="s">
        <v>109</v>
      </c>
      <c r="H9" s="141" t="s">
        <v>186</v>
      </c>
      <c r="I9" s="141" t="s">
        <v>187</v>
      </c>
      <c r="J9" s="141" t="s">
        <v>188</v>
      </c>
      <c r="K9" s="141" t="s">
        <v>109</v>
      </c>
      <c r="L9" s="141" t="s">
        <v>189</v>
      </c>
      <c r="M9" s="141" t="s">
        <v>190</v>
      </c>
      <c r="N9" s="141" t="s">
        <v>191</v>
      </c>
      <c r="O9" s="141" t="s">
        <v>192</v>
      </c>
    </row>
    <row r="10" spans="1:16" ht="25.2" customHeight="1">
      <c r="A10" s="255"/>
      <c r="B10" s="142"/>
      <c r="C10" s="143"/>
      <c r="D10" s="256"/>
      <c r="E10" s="257"/>
      <c r="F10" s="257"/>
      <c r="G10" s="240"/>
      <c r="H10" s="239">
        <f>G10*$E10*$P$7</f>
        <v>0</v>
      </c>
      <c r="I10" s="240">
        <f t="shared" ref="I10:I16" si="0">K10-G10</f>
        <v>0</v>
      </c>
      <c r="J10" s="239">
        <f>I10*$E10*$P$7</f>
        <v>0</v>
      </c>
      <c r="K10" s="240"/>
      <c r="L10" s="239">
        <f>K10*$E10*$P$7</f>
        <v>0</v>
      </c>
      <c r="M10" s="240">
        <f t="shared" ref="M10:M16" si="1">D10-$K10</f>
        <v>0</v>
      </c>
      <c r="N10" s="239">
        <f>M10*$E10*$P$7</f>
        <v>0</v>
      </c>
      <c r="O10" s="258" t="e">
        <f>N10/(F10*$P$7)</f>
        <v>#DIV/0!</v>
      </c>
    </row>
    <row r="11" spans="1:16" ht="25.2" customHeight="1">
      <c r="A11" s="255"/>
      <c r="B11" s="142"/>
      <c r="C11" s="143"/>
      <c r="D11" s="256"/>
      <c r="E11" s="257"/>
      <c r="F11" s="257"/>
      <c r="G11" s="240"/>
      <c r="H11" s="239"/>
      <c r="I11" s="240"/>
      <c r="J11" s="239"/>
      <c r="K11" s="240"/>
      <c r="L11" s="239"/>
      <c r="M11" s="240"/>
      <c r="N11" s="239"/>
      <c r="O11" s="258"/>
    </row>
    <row r="12" spans="1:16" ht="25.2" customHeight="1">
      <c r="A12" s="255"/>
      <c r="B12" s="142"/>
      <c r="C12" s="143"/>
      <c r="D12" s="256"/>
      <c r="E12" s="257"/>
      <c r="F12" s="257"/>
      <c r="G12" s="240"/>
      <c r="H12" s="239">
        <f>G12*$E12*$P$7</f>
        <v>0</v>
      </c>
      <c r="I12" s="240">
        <f t="shared" si="0"/>
        <v>0</v>
      </c>
      <c r="J12" s="239">
        <f>I12*$E12*$P$7</f>
        <v>0</v>
      </c>
      <c r="K12" s="240"/>
      <c r="L12" s="239">
        <f>K12*$E12*$P$7</f>
        <v>0</v>
      </c>
      <c r="M12" s="240">
        <f t="shared" si="1"/>
        <v>0</v>
      </c>
      <c r="N12" s="239">
        <f>M12*$E12*$P$7</f>
        <v>0</v>
      </c>
      <c r="O12" s="258" t="e">
        <f>N12/(F12*$P$7)</f>
        <v>#DIV/0!</v>
      </c>
    </row>
    <row r="13" spans="1:16" ht="25.2" customHeight="1">
      <c r="A13" s="255"/>
      <c r="B13" s="142"/>
      <c r="C13" s="143"/>
      <c r="D13" s="256"/>
      <c r="E13" s="257"/>
      <c r="F13" s="257"/>
      <c r="G13" s="240"/>
      <c r="H13" s="239"/>
      <c r="I13" s="240"/>
      <c r="J13" s="239"/>
      <c r="K13" s="240"/>
      <c r="L13" s="239"/>
      <c r="M13" s="240"/>
      <c r="N13" s="239"/>
      <c r="O13" s="258"/>
    </row>
    <row r="14" spans="1:16" ht="25.2" customHeight="1">
      <c r="A14" s="255"/>
      <c r="B14" s="142"/>
      <c r="C14" s="143"/>
      <c r="D14" s="256"/>
      <c r="E14" s="257"/>
      <c r="F14" s="257"/>
      <c r="G14" s="240"/>
      <c r="H14" s="239">
        <f>G14*$E14*$P$7</f>
        <v>0</v>
      </c>
      <c r="I14" s="240">
        <f t="shared" si="0"/>
        <v>0</v>
      </c>
      <c r="J14" s="239">
        <f>I14*$E14*$P$7</f>
        <v>0</v>
      </c>
      <c r="K14" s="240"/>
      <c r="L14" s="239">
        <f>K14*$E14*$P$7</f>
        <v>0</v>
      </c>
      <c r="M14" s="240">
        <f t="shared" si="1"/>
        <v>0</v>
      </c>
      <c r="N14" s="239">
        <f>M14*$E14*$P$7</f>
        <v>0</v>
      </c>
      <c r="O14" s="258" t="e">
        <f>N14/(F14*$P$7)</f>
        <v>#DIV/0!</v>
      </c>
    </row>
    <row r="15" spans="1:16" ht="25.2" customHeight="1">
      <c r="A15" s="255"/>
      <c r="B15" s="144"/>
      <c r="C15" s="143"/>
      <c r="D15" s="256"/>
      <c r="E15" s="257"/>
      <c r="F15" s="257"/>
      <c r="G15" s="240"/>
      <c r="H15" s="239"/>
      <c r="I15" s="240"/>
      <c r="J15" s="239"/>
      <c r="K15" s="240"/>
      <c r="L15" s="239"/>
      <c r="M15" s="240"/>
      <c r="N15" s="239"/>
      <c r="O15" s="258"/>
    </row>
    <row r="16" spans="1:16" ht="25.2" customHeight="1">
      <c r="A16" s="255"/>
      <c r="B16" s="142"/>
      <c r="C16" s="143"/>
      <c r="D16" s="256"/>
      <c r="E16" s="257"/>
      <c r="F16" s="257"/>
      <c r="G16" s="240"/>
      <c r="H16" s="239">
        <f>G16*$E16*$P$7</f>
        <v>0</v>
      </c>
      <c r="I16" s="240">
        <f t="shared" si="0"/>
        <v>0</v>
      </c>
      <c r="J16" s="239">
        <f>I16*$E16*$P$7</f>
        <v>0</v>
      </c>
      <c r="K16" s="240"/>
      <c r="L16" s="239">
        <f>K16*$E16*$P$7</f>
        <v>0</v>
      </c>
      <c r="M16" s="240">
        <f t="shared" si="1"/>
        <v>0</v>
      </c>
      <c r="N16" s="239">
        <f>M16*$E16*$P$7</f>
        <v>0</v>
      </c>
      <c r="O16" s="258" t="e">
        <f>N16/(F16*$P$7)</f>
        <v>#DIV/0!</v>
      </c>
    </row>
    <row r="17" spans="1:15" ht="25.2" customHeight="1">
      <c r="A17" s="255"/>
      <c r="B17" s="144"/>
      <c r="C17" s="143"/>
      <c r="D17" s="256"/>
      <c r="E17" s="257"/>
      <c r="F17" s="257"/>
      <c r="G17" s="240"/>
      <c r="H17" s="239"/>
      <c r="I17" s="240"/>
      <c r="J17" s="239"/>
      <c r="K17" s="240"/>
      <c r="L17" s="239"/>
      <c r="M17" s="240"/>
      <c r="N17" s="239"/>
      <c r="O17" s="258"/>
    </row>
    <row r="18" spans="1:15" ht="25.2" customHeight="1">
      <c r="A18" s="255"/>
      <c r="B18" s="142"/>
      <c r="C18" s="143"/>
      <c r="D18" s="256"/>
      <c r="E18" s="257"/>
      <c r="F18" s="257"/>
      <c r="G18" s="240"/>
      <c r="H18" s="239">
        <f>G18*$E18*$P$7</f>
        <v>0</v>
      </c>
      <c r="I18" s="240">
        <f>K18-G18</f>
        <v>0</v>
      </c>
      <c r="J18" s="239">
        <f>I18*$E18*$P$7</f>
        <v>0</v>
      </c>
      <c r="K18" s="240"/>
      <c r="L18" s="239">
        <f>K18*$E18*$P$7</f>
        <v>0</v>
      </c>
      <c r="M18" s="240">
        <f>D18-$K18</f>
        <v>0</v>
      </c>
      <c r="N18" s="239">
        <f>M18*$E18*$P$7</f>
        <v>0</v>
      </c>
      <c r="O18" s="258" t="e">
        <f>N18/(F18*$P$7)</f>
        <v>#DIV/0!</v>
      </c>
    </row>
    <row r="19" spans="1:15" ht="25.2" customHeight="1">
      <c r="A19" s="255"/>
      <c r="B19" s="144"/>
      <c r="C19" s="143"/>
      <c r="D19" s="256"/>
      <c r="E19" s="257"/>
      <c r="F19" s="257"/>
      <c r="G19" s="240"/>
      <c r="H19" s="239"/>
      <c r="I19" s="240"/>
      <c r="J19" s="239"/>
      <c r="K19" s="240"/>
      <c r="L19" s="239"/>
      <c r="M19" s="240"/>
      <c r="N19" s="239"/>
      <c r="O19" s="258"/>
    </row>
    <row r="20" spans="1:15" ht="30.9" customHeight="1">
      <c r="A20" s="145" t="s">
        <v>193</v>
      </c>
      <c r="B20" s="335" t="s">
        <v>180</v>
      </c>
      <c r="C20" s="335"/>
      <c r="D20" s="335"/>
      <c r="E20" s="335"/>
      <c r="F20" s="146">
        <f>SUM(F10:F19)</f>
        <v>0</v>
      </c>
      <c r="G20" s="145"/>
      <c r="H20" s="147">
        <f>SUM(H10:H19)</f>
        <v>0</v>
      </c>
      <c r="I20" s="145"/>
      <c r="J20" s="147">
        <f>SUM(J10:J19)</f>
        <v>0</v>
      </c>
      <c r="K20" s="145"/>
      <c r="L20" s="147">
        <f>SUM(L10:L19)</f>
        <v>0</v>
      </c>
      <c r="M20" s="145"/>
      <c r="N20" s="147">
        <f>SUM(N10:N19)</f>
        <v>0</v>
      </c>
      <c r="O20" s="148" t="e">
        <f>N20/F20</f>
        <v>#DIV/0!</v>
      </c>
    </row>
  </sheetData>
  <mergeCells count="72">
    <mergeCell ref="N18:N19"/>
    <mergeCell ref="O18:O19"/>
    <mergeCell ref="H18:H19"/>
    <mergeCell ref="I18:I19"/>
    <mergeCell ref="J18:J19"/>
    <mergeCell ref="K18:K19"/>
    <mergeCell ref="L18:L19"/>
    <mergeCell ref="M18:M19"/>
    <mergeCell ref="K16:K17"/>
    <mergeCell ref="L16:L17"/>
    <mergeCell ref="M16:M17"/>
    <mergeCell ref="N16:N17"/>
    <mergeCell ref="O16:O17"/>
    <mergeCell ref="A18:A19"/>
    <mergeCell ref="D18:D19"/>
    <mergeCell ref="E18:E19"/>
    <mergeCell ref="F18:F19"/>
    <mergeCell ref="G18:G19"/>
    <mergeCell ref="N12:N13"/>
    <mergeCell ref="O12:O13"/>
    <mergeCell ref="N14:N15"/>
    <mergeCell ref="O14:O15"/>
    <mergeCell ref="A16:A17"/>
    <mergeCell ref="D16:D17"/>
    <mergeCell ref="E16:E17"/>
    <mergeCell ref="F16:F17"/>
    <mergeCell ref="G16:G17"/>
    <mergeCell ref="H16:H17"/>
    <mergeCell ref="I16:I17"/>
    <mergeCell ref="J16:J17"/>
    <mergeCell ref="H14:H15"/>
    <mergeCell ref="I14:I15"/>
    <mergeCell ref="J14:J15"/>
    <mergeCell ref="K14:K15"/>
    <mergeCell ref="M10:M11"/>
    <mergeCell ref="A14:A15"/>
    <mergeCell ref="D14:D15"/>
    <mergeCell ref="E14:E15"/>
    <mergeCell ref="F14:F15"/>
    <mergeCell ref="G14:G15"/>
    <mergeCell ref="K12:K13"/>
    <mergeCell ref="L12:L13"/>
    <mergeCell ref="M12:M13"/>
    <mergeCell ref="L14:L15"/>
    <mergeCell ref="M14:M15"/>
    <mergeCell ref="H12:H13"/>
    <mergeCell ref="I12:I13"/>
    <mergeCell ref="J12:J13"/>
    <mergeCell ref="H10:H11"/>
    <mergeCell ref="I10:I11"/>
    <mergeCell ref="J10:J11"/>
    <mergeCell ref="A12:A13"/>
    <mergeCell ref="D12:D13"/>
    <mergeCell ref="E12:E13"/>
    <mergeCell ref="F12:F13"/>
    <mergeCell ref="G12:G13"/>
    <mergeCell ref="G10:G11"/>
    <mergeCell ref="A6:A7"/>
    <mergeCell ref="G6:H6"/>
    <mergeCell ref="I6:J6"/>
    <mergeCell ref="K6:L6"/>
    <mergeCell ref="M6:N6"/>
    <mergeCell ref="B8:F8"/>
    <mergeCell ref="A10:A11"/>
    <mergeCell ref="D10:D11"/>
    <mergeCell ref="E10:E11"/>
    <mergeCell ref="F10:F11"/>
    <mergeCell ref="N10:N11"/>
    <mergeCell ref="O10:O11"/>
    <mergeCell ref="K10:K11"/>
    <mergeCell ref="L10:L11"/>
    <mergeCell ref="B3:O3"/>
  </mergeCells>
  <printOptions horizontalCentered="1"/>
  <pageMargins left="0.31388888888888899" right="0.2" top="0.94374999999999998" bottom="0.55000000000000004" header="0.297916666666667" footer="0.196527777777778"/>
  <pageSetup paperSize="9" scale="43" fitToHeight="0" orientation="landscape" r:id="rId1"/>
  <headerFooter scaleWithDoc="0" alignWithMargins="0">
    <oddHeader>&amp;C&amp;G</oddHead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P247"/>
  <sheetViews>
    <sheetView zoomScale="55" zoomScaleNormal="55" workbookViewId="0">
      <pane xSplit="3" ySplit="6" topLeftCell="D7" activePane="bottomRight" state="frozen"/>
      <selection activeCell="D18" sqref="D18"/>
      <selection pane="topRight" activeCell="D18" sqref="D18"/>
      <selection pane="bottomLeft" activeCell="D18" sqref="D18"/>
      <selection pane="bottomRight" activeCell="B14" sqref="B14"/>
    </sheetView>
  </sheetViews>
  <sheetFormatPr defaultColWidth="9.109375" defaultRowHeight="35.1" customHeight="1"/>
  <cols>
    <col min="1" max="1" width="15.6640625" style="1" customWidth="1"/>
    <col min="2" max="2" width="100.6640625" style="1" customWidth="1"/>
    <col min="3" max="5" width="15.6640625" style="1" customWidth="1"/>
    <col min="6" max="6" width="20.6640625" style="1" customWidth="1"/>
    <col min="7" max="7" width="18.5546875" style="1" customWidth="1"/>
    <col min="8" max="8" width="20.88671875" style="1" customWidth="1"/>
    <col min="9" max="9" width="12.6640625" style="1" customWidth="1"/>
    <col min="10" max="10" width="19.33203125" style="1" customWidth="1"/>
    <col min="11" max="11" width="17.6640625" style="1" customWidth="1"/>
    <col min="12" max="12" width="18.6640625" style="1" customWidth="1"/>
    <col min="13" max="13" width="12.6640625" style="1" customWidth="1"/>
    <col min="14" max="14" width="18.88671875" style="1" customWidth="1"/>
    <col min="15" max="15" width="20.88671875" style="1" customWidth="1"/>
    <col min="16" max="17" width="17.44140625" style="1" customWidth="1"/>
    <col min="18" max="16384" width="9.109375" style="1"/>
  </cols>
  <sheetData>
    <row r="1" spans="1:16" ht="33" customHeight="1">
      <c r="A1" s="149"/>
      <c r="B1" s="336" t="str">
        <f>'Bill Summary'!B1:O1</f>
        <v xml:space="preserve">Name of a project /  Название котракту             </v>
      </c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7"/>
    </row>
    <row r="2" spans="1:16" ht="66" customHeight="1">
      <c r="A2" s="149"/>
      <c r="B2" s="336" t="str">
        <f>'Bill Summary'!B2:O2</f>
        <v>Contract identifier / 
Идентификатор контракта</v>
      </c>
      <c r="C2" s="336"/>
      <c r="D2" s="336"/>
      <c r="E2" s="336"/>
      <c r="F2" s="336"/>
      <c r="G2" s="336"/>
      <c r="H2" s="336"/>
      <c r="I2" s="336"/>
      <c r="J2" s="336"/>
      <c r="K2" s="336"/>
      <c r="L2" s="336"/>
      <c r="M2" s="336"/>
      <c r="N2" s="336"/>
      <c r="O2" s="337"/>
    </row>
    <row r="3" spans="1:16" ht="27" customHeight="1">
      <c r="A3" s="149"/>
      <c r="B3" s="336" t="str">
        <f>'Bill Summary'!B3:J3</f>
        <v>IPC #   / СПП № #</v>
      </c>
      <c r="C3" s="336"/>
      <c r="D3" s="336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7"/>
    </row>
    <row r="4" spans="1:16" ht="27" customHeight="1">
      <c r="A4" s="149"/>
      <c r="B4" s="321" t="str">
        <f>'Bill Summary'!B4:C4</f>
        <v>Start of Works/ Начало работ :  DD.MM.YYYY</v>
      </c>
      <c r="C4" s="321"/>
      <c r="D4" s="150"/>
      <c r="E4" s="151"/>
      <c r="F4" s="151"/>
      <c r="G4" s="150"/>
      <c r="H4" s="151"/>
      <c r="I4" s="338" t="s">
        <v>48</v>
      </c>
      <c r="J4" s="338"/>
      <c r="K4" s="338"/>
      <c r="L4" s="338"/>
      <c r="M4" s="338" t="str">
        <f>'Cover of IPC '!D7</f>
        <v>DD.MM.YYYY - DD.MM.YYYY</v>
      </c>
      <c r="N4" s="338"/>
      <c r="O4" s="339"/>
    </row>
    <row r="5" spans="1:16" ht="26.25" customHeight="1">
      <c r="A5" s="342" t="s">
        <v>194</v>
      </c>
      <c r="B5" s="342"/>
      <c r="C5" s="342"/>
      <c r="D5" s="342"/>
      <c r="E5" s="342"/>
      <c r="F5" s="342"/>
      <c r="G5" s="342"/>
      <c r="H5" s="342"/>
      <c r="I5" s="342"/>
      <c r="J5" s="342"/>
      <c r="K5" s="342"/>
      <c r="L5" s="342"/>
      <c r="M5" s="342"/>
      <c r="N5" s="342"/>
      <c r="O5" s="343"/>
    </row>
    <row r="6" spans="1:16" ht="69.75" customHeight="1">
      <c r="A6" s="340" t="s">
        <v>185</v>
      </c>
      <c r="B6" s="152" t="s">
        <v>140</v>
      </c>
      <c r="C6" s="152" t="s">
        <v>141</v>
      </c>
      <c r="D6" s="153" t="s">
        <v>142</v>
      </c>
      <c r="E6" s="154" t="s">
        <v>143</v>
      </c>
      <c r="F6" s="154" t="s">
        <v>144</v>
      </c>
      <c r="G6" s="344" t="s">
        <v>256</v>
      </c>
      <c r="H6" s="344"/>
      <c r="I6" s="341" t="s">
        <v>146</v>
      </c>
      <c r="J6" s="341"/>
      <c r="K6" s="341" t="s">
        <v>147</v>
      </c>
      <c r="L6" s="341"/>
      <c r="M6" s="341" t="s">
        <v>148</v>
      </c>
      <c r="N6" s="341"/>
      <c r="O6" s="155" t="s">
        <v>149</v>
      </c>
      <c r="P6" s="346" t="s">
        <v>258</v>
      </c>
    </row>
    <row r="7" spans="1:16" ht="49.95" customHeight="1">
      <c r="A7" s="340"/>
      <c r="B7" s="153" t="s">
        <v>152</v>
      </c>
      <c r="C7" s="156" t="s">
        <v>153</v>
      </c>
      <c r="D7" s="156" t="s">
        <v>154</v>
      </c>
      <c r="E7" s="157" t="s">
        <v>155</v>
      </c>
      <c r="F7" s="157" t="s">
        <v>156</v>
      </c>
      <c r="G7" s="158" t="s">
        <v>158</v>
      </c>
      <c r="H7" s="158" t="s">
        <v>159</v>
      </c>
      <c r="I7" s="158" t="s">
        <v>158</v>
      </c>
      <c r="J7" s="158" t="s">
        <v>159</v>
      </c>
      <c r="K7" s="158" t="s">
        <v>158</v>
      </c>
      <c r="L7" s="158" t="s">
        <v>159</v>
      </c>
      <c r="M7" s="158" t="s">
        <v>158</v>
      </c>
      <c r="N7" s="158" t="s">
        <v>159</v>
      </c>
      <c r="O7" s="155" t="s">
        <v>63</v>
      </c>
      <c r="P7" s="159">
        <v>0.7</v>
      </c>
    </row>
    <row r="8" spans="1:16" ht="25.2" hidden="1" customHeight="1">
      <c r="A8" s="160"/>
      <c r="B8" s="161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2"/>
    </row>
    <row r="9" spans="1:16" ht="25.2" customHeight="1">
      <c r="A9" s="160"/>
      <c r="B9" s="161" t="s">
        <v>257</v>
      </c>
      <c r="C9" s="161"/>
      <c r="D9" s="161" t="s">
        <v>109</v>
      </c>
      <c r="E9" s="161" t="s">
        <v>109</v>
      </c>
      <c r="F9" s="161" t="s">
        <v>109</v>
      </c>
      <c r="G9" s="161" t="s">
        <v>109</v>
      </c>
      <c r="H9" s="161" t="s">
        <v>195</v>
      </c>
      <c r="I9" s="161" t="s">
        <v>196</v>
      </c>
      <c r="J9" s="161" t="s">
        <v>197</v>
      </c>
      <c r="K9" s="161" t="s">
        <v>109</v>
      </c>
      <c r="L9" s="161" t="s">
        <v>198</v>
      </c>
      <c r="M9" s="161" t="s">
        <v>199</v>
      </c>
      <c r="N9" s="161" t="s">
        <v>200</v>
      </c>
      <c r="O9" s="162" t="s">
        <v>201</v>
      </c>
    </row>
    <row r="10" spans="1:16" ht="29.1" customHeight="1">
      <c r="A10" s="269"/>
      <c r="B10" s="163"/>
      <c r="C10" s="164"/>
      <c r="D10" s="270"/>
      <c r="E10" s="271"/>
      <c r="F10" s="271"/>
      <c r="G10" s="272"/>
      <c r="H10" s="273">
        <f t="shared" ref="H10:H15" si="0">G10*$E10*$P$7</f>
        <v>0</v>
      </c>
      <c r="I10" s="272">
        <f t="shared" ref="I10:I15" si="1">K10-G10</f>
        <v>0</v>
      </c>
      <c r="J10" s="273">
        <f t="shared" ref="J10:J15" si="2">I10*$E10*$P$7</f>
        <v>0</v>
      </c>
      <c r="K10" s="272"/>
      <c r="L10" s="273">
        <f t="shared" ref="L10:L15" si="3">K10*$E10*$P$7</f>
        <v>0</v>
      </c>
      <c r="M10" s="272">
        <f t="shared" ref="M10:M15" si="4">D10-$K10</f>
        <v>0</v>
      </c>
      <c r="N10" s="273">
        <f t="shared" ref="N10:N15" si="5">M10*$E10*$P$7</f>
        <v>0</v>
      </c>
      <c r="O10" s="274" t="e">
        <f t="shared" ref="O10:O15" si="6">N10/(F10*$P$7)</f>
        <v>#DIV/0!</v>
      </c>
    </row>
    <row r="11" spans="1:16" ht="39" customHeight="1">
      <c r="A11" s="269"/>
      <c r="B11" s="163"/>
      <c r="C11" s="165"/>
      <c r="D11" s="270"/>
      <c r="E11" s="271"/>
      <c r="F11" s="271"/>
      <c r="G11" s="272"/>
      <c r="H11" s="273"/>
      <c r="I11" s="272"/>
      <c r="J11" s="273"/>
      <c r="K11" s="272"/>
      <c r="L11" s="273"/>
      <c r="M11" s="272"/>
      <c r="N11" s="273"/>
      <c r="O11" s="274"/>
    </row>
    <row r="12" spans="1:16" ht="25.2" customHeight="1">
      <c r="A12" s="269"/>
      <c r="B12" s="163"/>
      <c r="C12" s="164"/>
      <c r="D12" s="270"/>
      <c r="E12" s="271"/>
      <c r="F12" s="271"/>
      <c r="G12" s="272"/>
      <c r="H12" s="273">
        <f t="shared" si="0"/>
        <v>0</v>
      </c>
      <c r="I12" s="272">
        <f t="shared" si="1"/>
        <v>0</v>
      </c>
      <c r="J12" s="273">
        <f t="shared" si="2"/>
        <v>0</v>
      </c>
      <c r="K12" s="272"/>
      <c r="L12" s="273">
        <f t="shared" si="3"/>
        <v>0</v>
      </c>
      <c r="M12" s="272">
        <f t="shared" si="4"/>
        <v>0</v>
      </c>
      <c r="N12" s="273">
        <f t="shared" si="5"/>
        <v>0</v>
      </c>
      <c r="O12" s="274" t="e">
        <f t="shared" si="6"/>
        <v>#DIV/0!</v>
      </c>
    </row>
    <row r="13" spans="1:16" ht="25.2" customHeight="1">
      <c r="A13" s="269"/>
      <c r="B13" s="163"/>
      <c r="C13" s="165"/>
      <c r="D13" s="270"/>
      <c r="E13" s="271"/>
      <c r="F13" s="271"/>
      <c r="G13" s="272"/>
      <c r="H13" s="273"/>
      <c r="I13" s="272"/>
      <c r="J13" s="273"/>
      <c r="K13" s="272"/>
      <c r="L13" s="273"/>
      <c r="M13" s="272"/>
      <c r="N13" s="273"/>
      <c r="O13" s="274"/>
    </row>
    <row r="14" spans="1:16" ht="25.2" customHeight="1">
      <c r="A14" s="160"/>
      <c r="B14" s="161"/>
      <c r="C14" s="161"/>
      <c r="D14" s="161"/>
      <c r="E14" s="161"/>
      <c r="F14" s="161"/>
      <c r="G14" s="166"/>
      <c r="H14" s="167"/>
      <c r="I14" s="166"/>
      <c r="J14" s="167"/>
      <c r="K14" s="166"/>
      <c r="L14" s="167"/>
      <c r="M14" s="166"/>
      <c r="N14" s="167"/>
      <c r="O14" s="168"/>
    </row>
    <row r="15" spans="1:16" ht="45.9" customHeight="1">
      <c r="A15" s="269"/>
      <c r="B15" s="169"/>
      <c r="C15" s="170"/>
      <c r="D15" s="270"/>
      <c r="E15" s="271"/>
      <c r="F15" s="271"/>
      <c r="G15" s="272"/>
      <c r="H15" s="273">
        <f t="shared" si="0"/>
        <v>0</v>
      </c>
      <c r="I15" s="272">
        <f t="shared" si="1"/>
        <v>0</v>
      </c>
      <c r="J15" s="273">
        <f t="shared" si="2"/>
        <v>0</v>
      </c>
      <c r="K15" s="272"/>
      <c r="L15" s="273">
        <f t="shared" si="3"/>
        <v>0</v>
      </c>
      <c r="M15" s="272">
        <f t="shared" si="4"/>
        <v>0</v>
      </c>
      <c r="N15" s="273">
        <f t="shared" si="5"/>
        <v>0</v>
      </c>
      <c r="O15" s="274" t="e">
        <f t="shared" si="6"/>
        <v>#DIV/0!</v>
      </c>
    </row>
    <row r="16" spans="1:16" ht="45.9" customHeight="1">
      <c r="A16" s="269"/>
      <c r="B16" s="169"/>
      <c r="C16" s="165"/>
      <c r="D16" s="270"/>
      <c r="E16" s="271"/>
      <c r="F16" s="271"/>
      <c r="G16" s="272"/>
      <c r="H16" s="273"/>
      <c r="I16" s="272"/>
      <c r="J16" s="273"/>
      <c r="K16" s="272"/>
      <c r="L16" s="273"/>
      <c r="M16" s="272"/>
      <c r="N16" s="273"/>
      <c r="O16" s="274"/>
    </row>
    <row r="17" spans="1:15" ht="35.1" customHeight="1">
      <c r="A17" s="269"/>
      <c r="B17" s="169"/>
      <c r="C17" s="170"/>
      <c r="D17" s="270"/>
      <c r="E17" s="271"/>
      <c r="F17" s="271"/>
      <c r="G17" s="272"/>
      <c r="H17" s="273">
        <f>G17*$E17*$P$7</f>
        <v>0</v>
      </c>
      <c r="I17" s="272">
        <f>K17-G17</f>
        <v>0</v>
      </c>
      <c r="J17" s="273">
        <f>I17*$E17*$P$7</f>
        <v>0</v>
      </c>
      <c r="K17" s="272"/>
      <c r="L17" s="273">
        <f>K17*$E17*$P$7</f>
        <v>0</v>
      </c>
      <c r="M17" s="272">
        <f>D17-$K17</f>
        <v>0</v>
      </c>
      <c r="N17" s="273">
        <f>M17*$E17*$P$7</f>
        <v>0</v>
      </c>
      <c r="O17" s="274" t="e">
        <f>N17/(F17*$P$7)</f>
        <v>#DIV/0!</v>
      </c>
    </row>
    <row r="18" spans="1:15" ht="42" customHeight="1">
      <c r="A18" s="269"/>
      <c r="B18" s="169"/>
      <c r="C18" s="165"/>
      <c r="D18" s="270"/>
      <c r="E18" s="271"/>
      <c r="F18" s="271"/>
      <c r="G18" s="272"/>
      <c r="H18" s="273"/>
      <c r="I18" s="272"/>
      <c r="J18" s="273"/>
      <c r="K18" s="272"/>
      <c r="L18" s="273"/>
      <c r="M18" s="272"/>
      <c r="N18" s="273"/>
      <c r="O18" s="274"/>
    </row>
    <row r="19" spans="1:15" ht="39" customHeight="1">
      <c r="A19" s="269"/>
      <c r="B19" s="163"/>
      <c r="C19" s="164"/>
      <c r="D19" s="270"/>
      <c r="E19" s="271"/>
      <c r="F19" s="271"/>
      <c r="G19" s="272"/>
      <c r="H19" s="273">
        <f>G19*$E19*$P$7</f>
        <v>0</v>
      </c>
      <c r="I19" s="272">
        <f>K19-G19</f>
        <v>0</v>
      </c>
      <c r="J19" s="273">
        <f>I19*$E19*$P$7</f>
        <v>0</v>
      </c>
      <c r="K19" s="272"/>
      <c r="L19" s="273">
        <f>K19*$E19*$P$7</f>
        <v>0</v>
      </c>
      <c r="M19" s="272">
        <f>D19-$K19</f>
        <v>0</v>
      </c>
      <c r="N19" s="273">
        <f>M19*$E19*$P$7</f>
        <v>0</v>
      </c>
      <c r="O19" s="274" t="e">
        <f>N19/(F19*$P$7)</f>
        <v>#DIV/0!</v>
      </c>
    </row>
    <row r="20" spans="1:15" ht="39" customHeight="1">
      <c r="A20" s="269"/>
      <c r="B20" s="171"/>
      <c r="C20" s="165"/>
      <c r="D20" s="270"/>
      <c r="E20" s="271"/>
      <c r="F20" s="271"/>
      <c r="G20" s="272"/>
      <c r="H20" s="273"/>
      <c r="I20" s="272"/>
      <c r="J20" s="273"/>
      <c r="K20" s="272"/>
      <c r="L20" s="273"/>
      <c r="M20" s="272"/>
      <c r="N20" s="273"/>
      <c r="O20" s="274"/>
    </row>
    <row r="21" spans="1:15" ht="36" customHeight="1">
      <c r="A21" s="269"/>
      <c r="B21" s="163"/>
      <c r="C21" s="164"/>
      <c r="D21" s="270"/>
      <c r="E21" s="271"/>
      <c r="F21" s="271"/>
      <c r="G21" s="272"/>
      <c r="H21" s="273">
        <f>G21*$E21*$P$7</f>
        <v>0</v>
      </c>
      <c r="I21" s="272">
        <f>K21-G21</f>
        <v>0</v>
      </c>
      <c r="J21" s="273">
        <f>I21*$E21*$P$7</f>
        <v>0</v>
      </c>
      <c r="K21" s="272"/>
      <c r="L21" s="273">
        <f>K21*$E21*$P$7</f>
        <v>0</v>
      </c>
      <c r="M21" s="272">
        <f>D21-$K21</f>
        <v>0</v>
      </c>
      <c r="N21" s="273">
        <f>M21*$E21*$P$7</f>
        <v>0</v>
      </c>
      <c r="O21" s="274" t="e">
        <f>N21/(F21*$P$7)</f>
        <v>#DIV/0!</v>
      </c>
    </row>
    <row r="22" spans="1:15" ht="39" customHeight="1">
      <c r="A22" s="269"/>
      <c r="B22" s="171"/>
      <c r="C22" s="165"/>
      <c r="D22" s="270"/>
      <c r="E22" s="271"/>
      <c r="F22" s="271"/>
      <c r="G22" s="272"/>
      <c r="H22" s="273"/>
      <c r="I22" s="272"/>
      <c r="J22" s="273"/>
      <c r="K22" s="272"/>
      <c r="L22" s="273"/>
      <c r="M22" s="272"/>
      <c r="N22" s="273"/>
      <c r="O22" s="274"/>
    </row>
    <row r="23" spans="1:15" ht="40.049999999999997" customHeight="1">
      <c r="A23" s="269"/>
      <c r="B23" s="163"/>
      <c r="C23" s="164"/>
      <c r="D23" s="270"/>
      <c r="E23" s="271"/>
      <c r="F23" s="271"/>
      <c r="G23" s="272"/>
      <c r="H23" s="273">
        <f>G23*$E23*$P$7</f>
        <v>0</v>
      </c>
      <c r="I23" s="272">
        <f>K23-G23</f>
        <v>0</v>
      </c>
      <c r="J23" s="273">
        <f>I23*$E23*$P$7</f>
        <v>0</v>
      </c>
      <c r="K23" s="272"/>
      <c r="L23" s="273">
        <f>K23*$E23*$P$7</f>
        <v>0</v>
      </c>
      <c r="M23" s="272">
        <f>D23-$K23</f>
        <v>0</v>
      </c>
      <c r="N23" s="273">
        <f>M23*$E23*$P$7</f>
        <v>0</v>
      </c>
      <c r="O23" s="274" t="e">
        <f>N23/(F23*$P$7)</f>
        <v>#DIV/0!</v>
      </c>
    </row>
    <row r="24" spans="1:15" ht="40.049999999999997" customHeight="1">
      <c r="A24" s="269"/>
      <c r="B24" s="163"/>
      <c r="C24" s="165"/>
      <c r="D24" s="270"/>
      <c r="E24" s="271"/>
      <c r="F24" s="271"/>
      <c r="G24" s="272"/>
      <c r="H24" s="273"/>
      <c r="I24" s="272"/>
      <c r="J24" s="273"/>
      <c r="K24" s="272"/>
      <c r="L24" s="273"/>
      <c r="M24" s="272"/>
      <c r="N24" s="273"/>
      <c r="O24" s="274"/>
    </row>
    <row r="25" spans="1:15" ht="36" customHeight="1">
      <c r="A25" s="269"/>
      <c r="B25" s="163"/>
      <c r="C25" s="164"/>
      <c r="D25" s="270"/>
      <c r="E25" s="271"/>
      <c r="F25" s="271"/>
      <c r="G25" s="272"/>
      <c r="H25" s="273">
        <f>G25*$E25*$P$7</f>
        <v>0</v>
      </c>
      <c r="I25" s="272">
        <f>K25-G25</f>
        <v>0</v>
      </c>
      <c r="J25" s="273">
        <f>I25*$E25*$P$7</f>
        <v>0</v>
      </c>
      <c r="K25" s="272"/>
      <c r="L25" s="273">
        <f>K25*$E25*$P$7</f>
        <v>0</v>
      </c>
      <c r="M25" s="272">
        <f>D25-$K25</f>
        <v>0</v>
      </c>
      <c r="N25" s="273">
        <f>M25*$E25*$P$7</f>
        <v>0</v>
      </c>
      <c r="O25" s="274" t="e">
        <f>N25/(F25*$P$7)</f>
        <v>#DIV/0!</v>
      </c>
    </row>
    <row r="26" spans="1:15" ht="36" customHeight="1">
      <c r="A26" s="269"/>
      <c r="B26" s="163"/>
      <c r="C26" s="165"/>
      <c r="D26" s="270"/>
      <c r="E26" s="271"/>
      <c r="F26" s="271"/>
      <c r="G26" s="272"/>
      <c r="H26" s="273"/>
      <c r="I26" s="272"/>
      <c r="J26" s="273"/>
      <c r="K26" s="272"/>
      <c r="L26" s="273"/>
      <c r="M26" s="272"/>
      <c r="N26" s="273"/>
      <c r="O26" s="274"/>
    </row>
    <row r="27" spans="1:15" ht="37.950000000000003" customHeight="1">
      <c r="A27" s="269"/>
      <c r="B27" s="163"/>
      <c r="C27" s="164"/>
      <c r="D27" s="270"/>
      <c r="E27" s="271"/>
      <c r="F27" s="271"/>
      <c r="G27" s="272"/>
      <c r="H27" s="273">
        <f>G27*$E27*$P$7</f>
        <v>0</v>
      </c>
      <c r="I27" s="272">
        <f>K27-G27</f>
        <v>0</v>
      </c>
      <c r="J27" s="273">
        <f>I27*$E27*$P$7</f>
        <v>0</v>
      </c>
      <c r="K27" s="272"/>
      <c r="L27" s="273">
        <f>K27*$E27*$P$7</f>
        <v>0</v>
      </c>
      <c r="M27" s="272">
        <f>D27-$K27</f>
        <v>0</v>
      </c>
      <c r="N27" s="273">
        <f>M27*$E27*$P$7</f>
        <v>0</v>
      </c>
      <c r="O27" s="274" t="e">
        <f>N27/(F27*$P$7)</f>
        <v>#DIV/0!</v>
      </c>
    </row>
    <row r="28" spans="1:15" ht="37.950000000000003" customHeight="1">
      <c r="A28" s="269"/>
      <c r="B28" s="163"/>
      <c r="C28" s="165"/>
      <c r="D28" s="270"/>
      <c r="E28" s="271"/>
      <c r="F28" s="271"/>
      <c r="G28" s="272"/>
      <c r="H28" s="273"/>
      <c r="I28" s="272"/>
      <c r="J28" s="273"/>
      <c r="K28" s="272"/>
      <c r="L28" s="273"/>
      <c r="M28" s="272"/>
      <c r="N28" s="273"/>
      <c r="O28" s="274"/>
    </row>
    <row r="29" spans="1:15" ht="39.9" customHeight="1">
      <c r="A29" s="269"/>
      <c r="B29" s="163"/>
      <c r="C29" s="164"/>
      <c r="D29" s="270"/>
      <c r="E29" s="271"/>
      <c r="F29" s="271"/>
      <c r="G29" s="272"/>
      <c r="H29" s="273">
        <f>G29*$E29*$P$7</f>
        <v>0</v>
      </c>
      <c r="I29" s="272">
        <f>K29-G29</f>
        <v>0</v>
      </c>
      <c r="J29" s="273">
        <f>I29*$E29*$P$7</f>
        <v>0</v>
      </c>
      <c r="K29" s="272"/>
      <c r="L29" s="273">
        <f>K29*$E29*$P$7</f>
        <v>0</v>
      </c>
      <c r="M29" s="272">
        <f>D29-$K29</f>
        <v>0</v>
      </c>
      <c r="N29" s="273">
        <f>M29*$E29*$P$7</f>
        <v>0</v>
      </c>
      <c r="O29" s="274" t="e">
        <f>N29/(F29*$P$7)</f>
        <v>#DIV/0!</v>
      </c>
    </row>
    <row r="30" spans="1:15" ht="49.95" customHeight="1">
      <c r="A30" s="269"/>
      <c r="B30" s="163"/>
      <c r="C30" s="165"/>
      <c r="D30" s="270"/>
      <c r="E30" s="271"/>
      <c r="F30" s="271"/>
      <c r="G30" s="272"/>
      <c r="H30" s="273"/>
      <c r="I30" s="272"/>
      <c r="J30" s="273"/>
      <c r="K30" s="272"/>
      <c r="L30" s="273"/>
      <c r="M30" s="272"/>
      <c r="N30" s="273"/>
      <c r="O30" s="274"/>
    </row>
    <row r="31" spans="1:15" ht="39.9" customHeight="1">
      <c r="A31" s="269"/>
      <c r="B31" s="163"/>
      <c r="C31" s="164"/>
      <c r="D31" s="270"/>
      <c r="E31" s="271"/>
      <c r="F31" s="271"/>
      <c r="G31" s="272"/>
      <c r="H31" s="273">
        <f>G31*$E31*$P$7</f>
        <v>0</v>
      </c>
      <c r="I31" s="272">
        <f>K31-G31</f>
        <v>0</v>
      </c>
      <c r="J31" s="273">
        <f>I31*$E31*$P$7</f>
        <v>0</v>
      </c>
      <c r="K31" s="272"/>
      <c r="L31" s="273">
        <f>K31*$E31*$P$7</f>
        <v>0</v>
      </c>
      <c r="M31" s="272">
        <f>D31-$K31</f>
        <v>0</v>
      </c>
      <c r="N31" s="273">
        <f>M31*$E31*$P$7</f>
        <v>0</v>
      </c>
      <c r="O31" s="274" t="e">
        <f>N31/(F31*$P$7)</f>
        <v>#DIV/0!</v>
      </c>
    </row>
    <row r="32" spans="1:15" ht="49.95" customHeight="1">
      <c r="A32" s="269"/>
      <c r="B32" s="163"/>
      <c r="C32" s="165"/>
      <c r="D32" s="270"/>
      <c r="E32" s="271"/>
      <c r="F32" s="271"/>
      <c r="G32" s="272"/>
      <c r="H32" s="273"/>
      <c r="I32" s="272"/>
      <c r="J32" s="273"/>
      <c r="K32" s="272"/>
      <c r="L32" s="273"/>
      <c r="M32" s="272"/>
      <c r="N32" s="273"/>
      <c r="O32" s="274"/>
    </row>
    <row r="33" spans="1:15" ht="35.1" customHeight="1">
      <c r="A33" s="172" t="s">
        <v>202</v>
      </c>
      <c r="B33" s="345" t="s">
        <v>180</v>
      </c>
      <c r="C33" s="345"/>
      <c r="D33" s="345"/>
      <c r="E33" s="345"/>
      <c r="F33" s="173">
        <f>SUM(F10:F32)</f>
        <v>0</v>
      </c>
      <c r="G33" s="166"/>
      <c r="H33" s="174">
        <f>SUM(H10:H32)</f>
        <v>0</v>
      </c>
      <c r="I33" s="166"/>
      <c r="J33" s="174">
        <f>SUM(J10:J32)</f>
        <v>0</v>
      </c>
      <c r="K33" s="166"/>
      <c r="L33" s="174">
        <f>SUM(L10:L32)</f>
        <v>0</v>
      </c>
      <c r="M33" s="166"/>
      <c r="N33" s="174">
        <f>SUM(N10:N32)</f>
        <v>0</v>
      </c>
      <c r="O33" s="175" t="e">
        <f>N33/F33</f>
        <v>#DIV/0!</v>
      </c>
    </row>
    <row r="34" spans="1:15" ht="25.2" customHeight="1">
      <c r="B34" s="176"/>
      <c r="D34" s="177"/>
      <c r="E34" s="178"/>
      <c r="F34" s="178"/>
    </row>
    <row r="35" spans="1:15" ht="25.2" customHeight="1">
      <c r="B35" s="176"/>
      <c r="D35" s="177"/>
      <c r="E35" s="178"/>
      <c r="F35" s="178"/>
    </row>
    <row r="36" spans="1:15" ht="25.2" customHeight="1">
      <c r="B36" s="176"/>
      <c r="D36" s="177"/>
      <c r="E36" s="178"/>
      <c r="F36" s="178"/>
    </row>
    <row r="37" spans="1:15" ht="25.2" customHeight="1">
      <c r="B37" s="176"/>
      <c r="D37" s="177"/>
      <c r="E37" s="178"/>
      <c r="F37" s="178"/>
    </row>
    <row r="38" spans="1:15" ht="25.2" customHeight="1">
      <c r="B38" s="176"/>
      <c r="D38" s="177"/>
      <c r="E38" s="178"/>
      <c r="F38" s="178"/>
    </row>
    <row r="39" spans="1:15" ht="25.2" customHeight="1">
      <c r="B39" s="176"/>
      <c r="D39" s="177"/>
      <c r="E39" s="178"/>
      <c r="F39" s="178"/>
    </row>
    <row r="40" spans="1:15" ht="25.2" customHeight="1">
      <c r="B40" s="176"/>
      <c r="D40" s="177"/>
      <c r="E40" s="178"/>
      <c r="F40" s="178"/>
    </row>
    <row r="41" spans="1:15" ht="25.2" customHeight="1">
      <c r="B41" s="176"/>
      <c r="D41" s="177"/>
      <c r="E41" s="178"/>
      <c r="F41" s="178"/>
    </row>
    <row r="42" spans="1:15" ht="25.2" customHeight="1">
      <c r="B42" s="176"/>
      <c r="D42" s="177"/>
      <c r="E42" s="178"/>
      <c r="F42" s="178"/>
    </row>
    <row r="43" spans="1:15" ht="25.2" customHeight="1">
      <c r="B43" s="176"/>
      <c r="D43" s="177"/>
      <c r="E43" s="178"/>
      <c r="F43" s="178"/>
    </row>
    <row r="44" spans="1:15" ht="25.2" customHeight="1">
      <c r="B44" s="176"/>
      <c r="D44" s="177"/>
      <c r="E44" s="178"/>
      <c r="F44" s="178"/>
    </row>
    <row r="45" spans="1:15" ht="25.2" customHeight="1">
      <c r="B45" s="176"/>
      <c r="D45" s="177"/>
      <c r="E45" s="178"/>
      <c r="F45" s="178"/>
    </row>
    <row r="46" spans="1:15" ht="25.2" customHeight="1">
      <c r="B46" s="176"/>
      <c r="D46" s="177"/>
      <c r="E46" s="178"/>
      <c r="F46" s="178"/>
    </row>
    <row r="47" spans="1:15" ht="25.2" customHeight="1">
      <c r="B47" s="176"/>
      <c r="D47" s="177"/>
      <c r="E47" s="178"/>
      <c r="F47" s="178"/>
    </row>
    <row r="48" spans="1:15" ht="25.2" customHeight="1">
      <c r="B48" s="176"/>
      <c r="D48" s="177"/>
      <c r="E48" s="178"/>
      <c r="F48" s="178"/>
    </row>
    <row r="49" spans="2:6" ht="25.2" customHeight="1">
      <c r="B49" s="176"/>
      <c r="D49" s="177"/>
      <c r="E49" s="178"/>
      <c r="F49" s="178"/>
    </row>
    <row r="50" spans="2:6" ht="25.2" customHeight="1">
      <c r="B50" s="176"/>
      <c r="D50" s="177"/>
      <c r="E50" s="178"/>
      <c r="F50" s="178"/>
    </row>
    <row r="51" spans="2:6" ht="25.2" customHeight="1">
      <c r="B51" s="176"/>
      <c r="D51" s="177"/>
      <c r="E51" s="178"/>
      <c r="F51" s="178"/>
    </row>
    <row r="52" spans="2:6" ht="25.2" customHeight="1">
      <c r="B52" s="176"/>
      <c r="D52" s="177"/>
      <c r="E52" s="178"/>
      <c r="F52" s="178"/>
    </row>
    <row r="53" spans="2:6" ht="25.2" customHeight="1">
      <c r="B53" s="176"/>
      <c r="D53" s="177"/>
      <c r="E53" s="178"/>
      <c r="F53" s="178"/>
    </row>
    <row r="54" spans="2:6" ht="25.2" customHeight="1">
      <c r="B54" s="176"/>
      <c r="D54" s="177"/>
      <c r="E54" s="178"/>
      <c r="F54" s="178"/>
    </row>
    <row r="55" spans="2:6" ht="25.2" customHeight="1">
      <c r="B55" s="176"/>
      <c r="D55" s="177"/>
      <c r="E55" s="178"/>
      <c r="F55" s="178"/>
    </row>
    <row r="56" spans="2:6" ht="25.2" customHeight="1">
      <c r="B56" s="176"/>
      <c r="D56" s="177"/>
      <c r="E56" s="178"/>
      <c r="F56" s="178"/>
    </row>
    <row r="57" spans="2:6" ht="25.2" customHeight="1">
      <c r="B57" s="176"/>
      <c r="D57" s="177"/>
      <c r="E57" s="178"/>
      <c r="F57" s="178"/>
    </row>
    <row r="58" spans="2:6" ht="25.2" customHeight="1">
      <c r="B58" s="176"/>
      <c r="D58" s="177"/>
      <c r="E58" s="178"/>
      <c r="F58" s="178"/>
    </row>
    <row r="59" spans="2:6" ht="25.2" customHeight="1">
      <c r="B59" s="176"/>
      <c r="D59" s="177"/>
      <c r="E59" s="178"/>
      <c r="F59" s="178"/>
    </row>
    <row r="60" spans="2:6" ht="25.2" customHeight="1">
      <c r="B60" s="176"/>
      <c r="D60" s="177"/>
      <c r="E60" s="178"/>
      <c r="F60" s="178"/>
    </row>
    <row r="61" spans="2:6" ht="25.2" customHeight="1">
      <c r="B61" s="176"/>
      <c r="D61" s="177"/>
      <c r="E61" s="178"/>
      <c r="F61" s="178"/>
    </row>
    <row r="62" spans="2:6" ht="25.2" customHeight="1">
      <c r="B62" s="176"/>
      <c r="D62" s="177"/>
      <c r="E62" s="178"/>
      <c r="F62" s="178"/>
    </row>
    <row r="63" spans="2:6" ht="25.2" customHeight="1">
      <c r="B63" s="176"/>
      <c r="D63" s="177"/>
      <c r="E63" s="178"/>
      <c r="F63" s="178"/>
    </row>
    <row r="64" spans="2:6" ht="25.2" customHeight="1">
      <c r="B64" s="176"/>
      <c r="D64" s="177"/>
      <c r="E64" s="178"/>
      <c r="F64" s="178"/>
    </row>
    <row r="65" spans="2:6" ht="25.2" customHeight="1">
      <c r="B65" s="176"/>
      <c r="D65" s="177"/>
      <c r="E65" s="178"/>
      <c r="F65" s="178"/>
    </row>
    <row r="66" spans="2:6" ht="25.2" customHeight="1">
      <c r="B66" s="176"/>
      <c r="D66" s="177"/>
      <c r="E66" s="178"/>
      <c r="F66" s="178"/>
    </row>
    <row r="67" spans="2:6" ht="25.2" customHeight="1">
      <c r="B67" s="176"/>
      <c r="D67" s="177"/>
      <c r="E67" s="178"/>
      <c r="F67" s="178"/>
    </row>
    <row r="68" spans="2:6" ht="25.2" customHeight="1">
      <c r="B68" s="176"/>
      <c r="D68" s="177"/>
      <c r="E68" s="178"/>
      <c r="F68" s="178"/>
    </row>
    <row r="69" spans="2:6" ht="25.2" customHeight="1">
      <c r="B69" s="176"/>
      <c r="D69" s="177"/>
      <c r="E69" s="178"/>
      <c r="F69" s="178"/>
    </row>
    <row r="70" spans="2:6" ht="25.2" customHeight="1">
      <c r="B70" s="176"/>
      <c r="D70" s="177"/>
      <c r="E70" s="178"/>
      <c r="F70" s="178"/>
    </row>
    <row r="71" spans="2:6" ht="25.2" customHeight="1">
      <c r="B71" s="176"/>
      <c r="D71" s="177"/>
      <c r="E71" s="178"/>
      <c r="F71" s="178"/>
    </row>
    <row r="72" spans="2:6" ht="25.2" customHeight="1">
      <c r="B72" s="176"/>
      <c r="D72" s="177"/>
      <c r="E72" s="178"/>
      <c r="F72" s="178"/>
    </row>
    <row r="73" spans="2:6" ht="25.2" customHeight="1">
      <c r="B73" s="176"/>
      <c r="D73" s="177"/>
      <c r="E73" s="178"/>
      <c r="F73" s="178"/>
    </row>
    <row r="74" spans="2:6" ht="25.2" customHeight="1">
      <c r="B74" s="176"/>
      <c r="D74" s="177"/>
      <c r="E74" s="178"/>
      <c r="F74" s="178"/>
    </row>
    <row r="75" spans="2:6" ht="25.2" customHeight="1">
      <c r="B75" s="176"/>
      <c r="D75" s="177"/>
      <c r="E75" s="178"/>
      <c r="F75" s="178"/>
    </row>
    <row r="76" spans="2:6" ht="25.2" customHeight="1">
      <c r="B76" s="176"/>
      <c r="D76" s="177"/>
      <c r="E76" s="178"/>
      <c r="F76" s="178"/>
    </row>
    <row r="77" spans="2:6" ht="25.2" customHeight="1">
      <c r="B77" s="176"/>
      <c r="D77" s="177"/>
      <c r="E77" s="178"/>
      <c r="F77" s="178"/>
    </row>
    <row r="78" spans="2:6" ht="25.2" customHeight="1">
      <c r="B78" s="176"/>
      <c r="D78" s="177"/>
      <c r="E78" s="178"/>
      <c r="F78" s="178"/>
    </row>
    <row r="79" spans="2:6" ht="25.2" customHeight="1">
      <c r="B79" s="176"/>
      <c r="D79" s="177"/>
      <c r="E79" s="178"/>
      <c r="F79" s="178"/>
    </row>
    <row r="80" spans="2:6" ht="25.2" customHeight="1">
      <c r="B80" s="176"/>
      <c r="D80" s="177"/>
      <c r="E80" s="178"/>
      <c r="F80" s="178"/>
    </row>
    <row r="81" spans="2:6" ht="25.2" customHeight="1">
      <c r="B81" s="176"/>
      <c r="D81" s="177"/>
      <c r="E81" s="178"/>
      <c r="F81" s="178"/>
    </row>
    <row r="82" spans="2:6" ht="25.2" customHeight="1">
      <c r="B82" s="176"/>
      <c r="D82" s="177"/>
      <c r="E82" s="178"/>
      <c r="F82" s="178"/>
    </row>
    <row r="83" spans="2:6" ht="25.2" customHeight="1">
      <c r="B83" s="176"/>
      <c r="D83" s="177"/>
      <c r="E83" s="178"/>
      <c r="F83" s="178"/>
    </row>
    <row r="84" spans="2:6" ht="25.2" customHeight="1">
      <c r="B84" s="176"/>
      <c r="D84" s="177"/>
      <c r="E84" s="178"/>
      <c r="F84" s="178"/>
    </row>
    <row r="85" spans="2:6" ht="25.2" customHeight="1">
      <c r="B85" s="176"/>
      <c r="D85" s="177"/>
      <c r="E85" s="178"/>
      <c r="F85" s="178"/>
    </row>
    <row r="86" spans="2:6" ht="25.2" customHeight="1">
      <c r="B86" s="176"/>
      <c r="D86" s="177"/>
      <c r="E86" s="178"/>
      <c r="F86" s="178"/>
    </row>
    <row r="87" spans="2:6" ht="25.2" customHeight="1">
      <c r="B87" s="176"/>
      <c r="D87" s="177"/>
      <c r="E87" s="178"/>
      <c r="F87" s="178"/>
    </row>
    <row r="88" spans="2:6" ht="25.2" customHeight="1">
      <c r="B88" s="176"/>
      <c r="D88" s="177"/>
      <c r="E88" s="178"/>
      <c r="F88" s="178"/>
    </row>
    <row r="89" spans="2:6" ht="25.2" customHeight="1">
      <c r="B89" s="176"/>
      <c r="D89" s="177"/>
      <c r="E89" s="178"/>
      <c r="F89" s="178"/>
    </row>
    <row r="90" spans="2:6" ht="25.2" customHeight="1">
      <c r="B90" s="176"/>
      <c r="D90" s="177"/>
      <c r="E90" s="178"/>
      <c r="F90" s="178"/>
    </row>
    <row r="91" spans="2:6" ht="25.2" customHeight="1">
      <c r="B91" s="176"/>
      <c r="D91" s="177"/>
      <c r="E91" s="178"/>
      <c r="F91" s="178"/>
    </row>
    <row r="92" spans="2:6" ht="25.2" customHeight="1">
      <c r="B92" s="176"/>
      <c r="D92" s="177"/>
      <c r="E92" s="178"/>
      <c r="F92" s="178"/>
    </row>
    <row r="93" spans="2:6" ht="25.2" customHeight="1">
      <c r="B93" s="176"/>
      <c r="D93" s="177"/>
      <c r="E93" s="178"/>
      <c r="F93" s="178"/>
    </row>
    <row r="94" spans="2:6" ht="25.2" customHeight="1">
      <c r="B94" s="176"/>
      <c r="D94" s="177"/>
      <c r="E94" s="178"/>
      <c r="F94" s="178"/>
    </row>
    <row r="95" spans="2:6" ht="25.2" customHeight="1">
      <c r="B95" s="176"/>
      <c r="D95" s="177"/>
      <c r="E95" s="178"/>
      <c r="F95" s="178"/>
    </row>
    <row r="96" spans="2:6" ht="25.2" customHeight="1">
      <c r="B96" s="176"/>
      <c r="D96" s="177"/>
      <c r="E96" s="178"/>
      <c r="F96" s="178"/>
    </row>
    <row r="97" spans="2:6" ht="25.2" customHeight="1">
      <c r="B97" s="176"/>
      <c r="D97" s="177"/>
      <c r="E97" s="178"/>
      <c r="F97" s="178"/>
    </row>
    <row r="98" spans="2:6" ht="25.2" customHeight="1">
      <c r="B98" s="176"/>
      <c r="D98" s="177"/>
      <c r="E98" s="178"/>
      <c r="F98" s="178"/>
    </row>
    <row r="99" spans="2:6" ht="25.2" customHeight="1">
      <c r="B99" s="176"/>
      <c r="D99" s="177"/>
      <c r="E99" s="178"/>
      <c r="F99" s="178"/>
    </row>
    <row r="100" spans="2:6" ht="25.2" customHeight="1">
      <c r="B100" s="176"/>
      <c r="D100" s="177"/>
      <c r="E100" s="178"/>
      <c r="F100" s="178"/>
    </row>
    <row r="101" spans="2:6" ht="25.2" customHeight="1">
      <c r="B101" s="176"/>
      <c r="D101" s="177"/>
      <c r="E101" s="178"/>
      <c r="F101" s="178"/>
    </row>
    <row r="102" spans="2:6" ht="25.2" customHeight="1">
      <c r="B102" s="176"/>
      <c r="D102" s="177"/>
      <c r="E102" s="178"/>
      <c r="F102" s="178"/>
    </row>
    <row r="103" spans="2:6" ht="25.2" customHeight="1">
      <c r="B103" s="176"/>
      <c r="D103" s="177"/>
      <c r="E103" s="178"/>
      <c r="F103" s="178"/>
    </row>
    <row r="104" spans="2:6" ht="25.2" customHeight="1">
      <c r="B104" s="176"/>
      <c r="D104" s="177"/>
      <c r="E104" s="178"/>
      <c r="F104" s="178"/>
    </row>
    <row r="105" spans="2:6" ht="25.2" customHeight="1">
      <c r="B105" s="176"/>
      <c r="D105" s="177"/>
      <c r="E105" s="178"/>
      <c r="F105" s="178"/>
    </row>
    <row r="106" spans="2:6" ht="25.2" customHeight="1">
      <c r="B106" s="176"/>
      <c r="D106" s="177"/>
      <c r="E106" s="178"/>
      <c r="F106" s="178"/>
    </row>
    <row r="107" spans="2:6" ht="25.2" customHeight="1">
      <c r="B107" s="176"/>
      <c r="D107" s="177"/>
      <c r="E107" s="178"/>
      <c r="F107" s="178"/>
    </row>
    <row r="108" spans="2:6" ht="25.2" customHeight="1">
      <c r="B108" s="176"/>
      <c r="D108" s="177"/>
      <c r="E108" s="178"/>
      <c r="F108" s="178"/>
    </row>
    <row r="109" spans="2:6" ht="25.2" customHeight="1">
      <c r="B109" s="176"/>
      <c r="D109" s="177"/>
      <c r="E109" s="178"/>
      <c r="F109" s="178"/>
    </row>
    <row r="110" spans="2:6" ht="25.2" customHeight="1">
      <c r="B110" s="176"/>
      <c r="D110" s="177"/>
      <c r="E110" s="178"/>
      <c r="F110" s="178"/>
    </row>
    <row r="111" spans="2:6" ht="25.2" customHeight="1">
      <c r="B111" s="176"/>
      <c r="D111" s="177"/>
      <c r="E111" s="178"/>
      <c r="F111" s="178"/>
    </row>
    <row r="112" spans="2:6" ht="25.2" customHeight="1">
      <c r="B112" s="176"/>
      <c r="D112" s="177"/>
      <c r="E112" s="178"/>
      <c r="F112" s="178"/>
    </row>
    <row r="113" spans="2:6" ht="25.2" customHeight="1">
      <c r="B113" s="176"/>
      <c r="D113" s="177"/>
      <c r="E113" s="178"/>
      <c r="F113" s="178"/>
    </row>
    <row r="114" spans="2:6" ht="25.2" customHeight="1">
      <c r="B114" s="176"/>
      <c r="D114" s="177"/>
      <c r="E114" s="178"/>
      <c r="F114" s="178"/>
    </row>
    <row r="115" spans="2:6" ht="25.2" customHeight="1">
      <c r="B115" s="176"/>
      <c r="D115" s="177"/>
      <c r="E115" s="178"/>
      <c r="F115" s="178"/>
    </row>
    <row r="116" spans="2:6" ht="25.2" customHeight="1">
      <c r="B116" s="176"/>
      <c r="D116" s="177"/>
      <c r="E116" s="178"/>
      <c r="F116" s="178"/>
    </row>
    <row r="117" spans="2:6" ht="25.2" customHeight="1">
      <c r="B117" s="176"/>
      <c r="D117" s="177"/>
      <c r="E117" s="178"/>
      <c r="F117" s="178"/>
    </row>
    <row r="118" spans="2:6" ht="25.2" customHeight="1">
      <c r="B118" s="176"/>
      <c r="D118" s="177"/>
      <c r="E118" s="178"/>
      <c r="F118" s="178"/>
    </row>
    <row r="119" spans="2:6" ht="25.2" customHeight="1">
      <c r="B119" s="176"/>
      <c r="D119" s="177"/>
      <c r="E119" s="178"/>
      <c r="F119" s="178"/>
    </row>
    <row r="120" spans="2:6" ht="25.2" customHeight="1">
      <c r="B120" s="176"/>
      <c r="D120" s="177"/>
      <c r="E120" s="178"/>
      <c r="F120" s="178"/>
    </row>
    <row r="121" spans="2:6" ht="25.2" customHeight="1">
      <c r="B121" s="176"/>
      <c r="D121" s="177"/>
      <c r="E121" s="178"/>
      <c r="F121" s="178"/>
    </row>
    <row r="122" spans="2:6" ht="25.2" customHeight="1">
      <c r="B122" s="176"/>
      <c r="D122" s="177"/>
      <c r="E122" s="178"/>
      <c r="F122" s="178"/>
    </row>
    <row r="123" spans="2:6" ht="25.2" customHeight="1">
      <c r="B123" s="176"/>
      <c r="D123" s="177"/>
      <c r="E123" s="178"/>
      <c r="F123" s="178"/>
    </row>
    <row r="124" spans="2:6" ht="25.2" customHeight="1">
      <c r="B124" s="176"/>
      <c r="D124" s="177"/>
      <c r="E124" s="178"/>
      <c r="F124" s="178"/>
    </row>
    <row r="125" spans="2:6" ht="25.2" customHeight="1">
      <c r="B125" s="176"/>
      <c r="D125" s="177"/>
      <c r="E125" s="178"/>
      <c r="F125" s="178"/>
    </row>
    <row r="126" spans="2:6" ht="25.2" customHeight="1">
      <c r="B126" s="176"/>
      <c r="D126" s="177"/>
      <c r="E126" s="178"/>
      <c r="F126" s="178"/>
    </row>
    <row r="127" spans="2:6" ht="25.2" customHeight="1">
      <c r="B127" s="176"/>
      <c r="D127" s="177"/>
      <c r="E127" s="178"/>
      <c r="F127" s="178"/>
    </row>
    <row r="128" spans="2:6" ht="25.2" customHeight="1">
      <c r="B128" s="176"/>
      <c r="D128" s="177"/>
      <c r="E128" s="178"/>
      <c r="F128" s="178"/>
    </row>
    <row r="129" spans="2:6" ht="25.2" customHeight="1">
      <c r="B129" s="176"/>
      <c r="D129" s="177"/>
      <c r="E129" s="178"/>
      <c r="F129" s="178"/>
    </row>
    <row r="130" spans="2:6" ht="25.2" customHeight="1">
      <c r="B130" s="176"/>
      <c r="D130" s="177"/>
      <c r="E130" s="178"/>
      <c r="F130" s="178"/>
    </row>
    <row r="131" spans="2:6" ht="25.2" customHeight="1">
      <c r="B131" s="176"/>
      <c r="D131" s="177"/>
      <c r="E131" s="178"/>
      <c r="F131" s="178"/>
    </row>
    <row r="132" spans="2:6" ht="25.2" customHeight="1">
      <c r="B132" s="176"/>
      <c r="D132" s="177"/>
      <c r="E132" s="178"/>
      <c r="F132" s="178"/>
    </row>
    <row r="133" spans="2:6" ht="25.2" customHeight="1">
      <c r="B133" s="176"/>
      <c r="D133" s="177"/>
      <c r="E133" s="178"/>
      <c r="F133" s="178"/>
    </row>
    <row r="134" spans="2:6" ht="25.2" customHeight="1">
      <c r="B134" s="176"/>
      <c r="D134" s="177"/>
      <c r="E134" s="178"/>
      <c r="F134" s="178"/>
    </row>
    <row r="135" spans="2:6" ht="25.2" customHeight="1">
      <c r="B135" s="176"/>
      <c r="D135" s="177"/>
      <c r="E135" s="178"/>
      <c r="F135" s="178"/>
    </row>
    <row r="136" spans="2:6" ht="25.2" customHeight="1">
      <c r="B136" s="176"/>
      <c r="D136" s="177"/>
      <c r="E136" s="178"/>
      <c r="F136" s="178"/>
    </row>
    <row r="137" spans="2:6" ht="25.2" customHeight="1">
      <c r="B137" s="176"/>
      <c r="D137" s="177"/>
      <c r="E137" s="178"/>
      <c r="F137" s="178"/>
    </row>
    <row r="138" spans="2:6" ht="25.2" customHeight="1">
      <c r="B138" s="176"/>
      <c r="D138" s="177"/>
      <c r="E138" s="178"/>
      <c r="F138" s="178"/>
    </row>
    <row r="139" spans="2:6" ht="25.2" customHeight="1">
      <c r="B139" s="176"/>
      <c r="D139" s="177"/>
      <c r="E139" s="178"/>
      <c r="F139" s="178"/>
    </row>
    <row r="140" spans="2:6" ht="25.2" customHeight="1">
      <c r="B140" s="176"/>
      <c r="D140" s="177"/>
      <c r="E140" s="178"/>
      <c r="F140" s="178"/>
    </row>
    <row r="141" spans="2:6" ht="25.2" customHeight="1">
      <c r="B141" s="176"/>
      <c r="D141" s="177"/>
      <c r="E141" s="178"/>
      <c r="F141" s="178"/>
    </row>
    <row r="142" spans="2:6" ht="25.2" customHeight="1">
      <c r="B142" s="176"/>
      <c r="D142" s="177"/>
      <c r="E142" s="178"/>
      <c r="F142" s="178"/>
    </row>
    <row r="143" spans="2:6" ht="25.2" customHeight="1">
      <c r="B143" s="176"/>
      <c r="D143" s="177"/>
      <c r="E143" s="178"/>
      <c r="F143" s="178"/>
    </row>
    <row r="144" spans="2:6" ht="25.2" customHeight="1">
      <c r="B144" s="176"/>
      <c r="D144" s="177"/>
      <c r="E144" s="178"/>
      <c r="F144" s="178"/>
    </row>
    <row r="145" spans="2:6" ht="25.2" customHeight="1">
      <c r="B145" s="176"/>
      <c r="D145" s="177"/>
      <c r="E145" s="178"/>
      <c r="F145" s="178"/>
    </row>
    <row r="146" spans="2:6" ht="25.2" customHeight="1">
      <c r="B146" s="176"/>
      <c r="D146" s="177"/>
      <c r="E146" s="178"/>
      <c r="F146" s="178"/>
    </row>
    <row r="147" spans="2:6" ht="25.2" customHeight="1">
      <c r="B147" s="176"/>
      <c r="D147" s="177"/>
      <c r="E147" s="178"/>
      <c r="F147" s="178"/>
    </row>
    <row r="148" spans="2:6" ht="25.2" customHeight="1">
      <c r="B148" s="176"/>
      <c r="D148" s="177"/>
      <c r="E148" s="178"/>
      <c r="F148" s="178"/>
    </row>
    <row r="149" spans="2:6" ht="25.2" customHeight="1">
      <c r="B149" s="176"/>
      <c r="D149" s="177"/>
      <c r="E149" s="178"/>
      <c r="F149" s="178"/>
    </row>
    <row r="150" spans="2:6" ht="25.2" customHeight="1">
      <c r="B150" s="176"/>
      <c r="D150" s="177"/>
      <c r="E150" s="178"/>
      <c r="F150" s="178"/>
    </row>
    <row r="151" spans="2:6" ht="25.2" customHeight="1">
      <c r="B151" s="176"/>
      <c r="D151" s="177"/>
      <c r="E151" s="178"/>
      <c r="F151" s="178"/>
    </row>
    <row r="152" spans="2:6" ht="25.2" customHeight="1">
      <c r="B152" s="176"/>
      <c r="D152" s="177"/>
      <c r="E152" s="178"/>
      <c r="F152" s="178"/>
    </row>
    <row r="153" spans="2:6" ht="25.2" customHeight="1">
      <c r="B153" s="176"/>
      <c r="D153" s="177"/>
      <c r="E153" s="178"/>
      <c r="F153" s="178"/>
    </row>
    <row r="154" spans="2:6" ht="25.2" customHeight="1">
      <c r="B154" s="176"/>
      <c r="D154" s="177"/>
      <c r="E154" s="178"/>
      <c r="F154" s="178"/>
    </row>
    <row r="155" spans="2:6" ht="25.2" customHeight="1">
      <c r="B155" s="176"/>
      <c r="D155" s="177"/>
      <c r="E155" s="178"/>
      <c r="F155" s="178"/>
    </row>
    <row r="156" spans="2:6" ht="25.2" customHeight="1">
      <c r="B156" s="176"/>
      <c r="D156" s="177"/>
      <c r="E156" s="178"/>
      <c r="F156" s="178"/>
    </row>
    <row r="157" spans="2:6" ht="25.2" customHeight="1">
      <c r="B157" s="176"/>
      <c r="D157" s="177"/>
      <c r="E157" s="178"/>
      <c r="F157" s="178"/>
    </row>
    <row r="158" spans="2:6" ht="25.2" customHeight="1">
      <c r="B158" s="176"/>
      <c r="D158" s="177"/>
      <c r="E158" s="178"/>
      <c r="F158" s="178"/>
    </row>
    <row r="159" spans="2:6" ht="25.2" customHeight="1">
      <c r="B159" s="176"/>
      <c r="D159" s="177"/>
      <c r="E159" s="178"/>
      <c r="F159" s="178"/>
    </row>
    <row r="160" spans="2:6" ht="25.2" customHeight="1">
      <c r="B160" s="176"/>
      <c r="D160" s="177"/>
      <c r="E160" s="178"/>
      <c r="F160" s="178"/>
    </row>
    <row r="161" spans="2:6" ht="25.2" customHeight="1">
      <c r="B161" s="176"/>
      <c r="D161" s="177"/>
      <c r="E161" s="178"/>
      <c r="F161" s="178"/>
    </row>
    <row r="162" spans="2:6" ht="25.2" customHeight="1">
      <c r="B162" s="176"/>
      <c r="D162" s="177"/>
      <c r="E162" s="178"/>
      <c r="F162" s="178"/>
    </row>
    <row r="163" spans="2:6" ht="25.2" customHeight="1">
      <c r="B163" s="176"/>
      <c r="D163" s="177"/>
      <c r="E163" s="178"/>
      <c r="F163" s="178"/>
    </row>
    <row r="164" spans="2:6" ht="25.2" customHeight="1">
      <c r="B164" s="176"/>
      <c r="D164" s="177"/>
      <c r="E164" s="178"/>
      <c r="F164" s="178"/>
    </row>
    <row r="165" spans="2:6" ht="25.2" customHeight="1">
      <c r="B165" s="176"/>
      <c r="D165" s="177"/>
      <c r="E165" s="178"/>
      <c r="F165" s="178"/>
    </row>
    <row r="166" spans="2:6" ht="25.2" customHeight="1">
      <c r="B166" s="176"/>
      <c r="D166" s="177"/>
      <c r="E166" s="178"/>
      <c r="F166" s="178"/>
    </row>
    <row r="167" spans="2:6" ht="25.2" customHeight="1">
      <c r="B167" s="176"/>
      <c r="D167" s="177"/>
      <c r="E167" s="178"/>
      <c r="F167" s="178"/>
    </row>
    <row r="168" spans="2:6" ht="25.2" customHeight="1">
      <c r="B168" s="176"/>
      <c r="D168" s="177"/>
      <c r="E168" s="178"/>
      <c r="F168" s="178"/>
    </row>
    <row r="169" spans="2:6" ht="25.2" customHeight="1">
      <c r="B169" s="176"/>
      <c r="D169" s="177"/>
      <c r="E169" s="178"/>
      <c r="F169" s="178"/>
    </row>
    <row r="170" spans="2:6" ht="25.2" customHeight="1">
      <c r="B170" s="176"/>
      <c r="D170" s="177"/>
      <c r="E170" s="178"/>
      <c r="F170" s="178"/>
    </row>
    <row r="171" spans="2:6" ht="25.2" customHeight="1">
      <c r="B171" s="176"/>
      <c r="D171" s="177"/>
      <c r="E171" s="178"/>
      <c r="F171" s="178"/>
    </row>
    <row r="172" spans="2:6" ht="25.2" customHeight="1">
      <c r="B172" s="176"/>
      <c r="D172" s="177"/>
      <c r="E172" s="178"/>
      <c r="F172" s="178"/>
    </row>
    <row r="173" spans="2:6" ht="25.2" customHeight="1">
      <c r="B173" s="176"/>
      <c r="D173" s="177"/>
      <c r="E173" s="178"/>
      <c r="F173" s="178"/>
    </row>
    <row r="174" spans="2:6" ht="25.2" customHeight="1">
      <c r="B174" s="176"/>
      <c r="D174" s="177"/>
      <c r="E174" s="178"/>
      <c r="F174" s="178"/>
    </row>
    <row r="175" spans="2:6" ht="25.2" customHeight="1">
      <c r="B175" s="176"/>
      <c r="D175" s="177"/>
      <c r="E175" s="178"/>
      <c r="F175" s="178"/>
    </row>
    <row r="176" spans="2:6" ht="25.2" customHeight="1">
      <c r="B176" s="176"/>
      <c r="D176" s="177"/>
      <c r="E176" s="178"/>
      <c r="F176" s="178"/>
    </row>
    <row r="177" spans="2:6" ht="25.2" customHeight="1">
      <c r="B177" s="176"/>
      <c r="D177" s="177"/>
      <c r="E177" s="178"/>
      <c r="F177" s="178"/>
    </row>
    <row r="178" spans="2:6" ht="25.2" customHeight="1">
      <c r="B178" s="176"/>
      <c r="D178" s="177"/>
      <c r="E178" s="178"/>
      <c r="F178" s="178"/>
    </row>
    <row r="179" spans="2:6" ht="25.2" customHeight="1">
      <c r="B179" s="176"/>
      <c r="D179" s="177"/>
      <c r="E179" s="178"/>
      <c r="F179" s="178"/>
    </row>
    <row r="180" spans="2:6" ht="25.2" customHeight="1">
      <c r="B180" s="176"/>
      <c r="D180" s="177"/>
      <c r="E180" s="178"/>
      <c r="F180" s="178"/>
    </row>
    <row r="181" spans="2:6" ht="25.2" customHeight="1">
      <c r="B181" s="176"/>
      <c r="D181" s="177"/>
      <c r="E181" s="178"/>
      <c r="F181" s="178"/>
    </row>
    <row r="182" spans="2:6" ht="25.2" customHeight="1">
      <c r="B182" s="176"/>
      <c r="D182" s="177"/>
      <c r="E182" s="178"/>
      <c r="F182" s="178"/>
    </row>
    <row r="183" spans="2:6" ht="25.2" customHeight="1">
      <c r="B183" s="176"/>
      <c r="D183" s="177"/>
      <c r="E183" s="178"/>
      <c r="F183" s="178"/>
    </row>
    <row r="184" spans="2:6" ht="25.2" customHeight="1">
      <c r="B184" s="176"/>
      <c r="D184" s="177"/>
      <c r="E184" s="178"/>
      <c r="F184" s="178"/>
    </row>
    <row r="185" spans="2:6" ht="25.2" customHeight="1">
      <c r="B185" s="176"/>
      <c r="D185" s="177"/>
      <c r="E185" s="178"/>
      <c r="F185" s="178"/>
    </row>
    <row r="186" spans="2:6" ht="25.2" customHeight="1">
      <c r="B186" s="176"/>
      <c r="D186" s="177"/>
      <c r="E186" s="178"/>
      <c r="F186" s="178"/>
    </row>
    <row r="187" spans="2:6" ht="25.2" customHeight="1">
      <c r="B187" s="176"/>
      <c r="D187" s="177"/>
      <c r="E187" s="178"/>
      <c r="F187" s="178"/>
    </row>
    <row r="188" spans="2:6" ht="25.2" customHeight="1">
      <c r="B188" s="176"/>
      <c r="D188" s="177"/>
      <c r="E188" s="178"/>
      <c r="F188" s="178"/>
    </row>
    <row r="189" spans="2:6" ht="25.2" customHeight="1">
      <c r="B189" s="176"/>
      <c r="D189" s="177"/>
      <c r="E189" s="178"/>
      <c r="F189" s="178"/>
    </row>
    <row r="190" spans="2:6" ht="25.2" customHeight="1">
      <c r="B190" s="176"/>
      <c r="D190" s="177"/>
      <c r="E190" s="178"/>
      <c r="F190" s="178"/>
    </row>
    <row r="191" spans="2:6" ht="25.2" customHeight="1">
      <c r="B191" s="176"/>
      <c r="D191" s="177"/>
      <c r="E191" s="178"/>
      <c r="F191" s="178"/>
    </row>
    <row r="192" spans="2:6" ht="25.2" customHeight="1">
      <c r="B192" s="176"/>
      <c r="D192" s="177"/>
      <c r="E192" s="178"/>
      <c r="F192" s="178"/>
    </row>
    <row r="193" spans="2:6" ht="25.2" customHeight="1">
      <c r="B193" s="176"/>
      <c r="D193" s="177"/>
      <c r="E193" s="178"/>
      <c r="F193" s="178"/>
    </row>
    <row r="194" spans="2:6" ht="25.2" customHeight="1">
      <c r="B194" s="176"/>
      <c r="D194" s="177"/>
      <c r="E194" s="178"/>
      <c r="F194" s="178"/>
    </row>
    <row r="195" spans="2:6" ht="25.2" customHeight="1">
      <c r="B195" s="176"/>
      <c r="D195" s="177"/>
      <c r="E195" s="178"/>
      <c r="F195" s="178"/>
    </row>
    <row r="196" spans="2:6" ht="25.2" customHeight="1">
      <c r="B196" s="176"/>
      <c r="D196" s="177"/>
      <c r="E196" s="178"/>
      <c r="F196" s="178"/>
    </row>
    <row r="197" spans="2:6" ht="25.2" customHeight="1">
      <c r="B197" s="176"/>
      <c r="D197" s="177"/>
      <c r="E197" s="178"/>
      <c r="F197" s="178"/>
    </row>
    <row r="198" spans="2:6" ht="25.2" customHeight="1">
      <c r="B198" s="176"/>
      <c r="D198" s="177"/>
      <c r="E198" s="178"/>
      <c r="F198" s="178"/>
    </row>
    <row r="199" spans="2:6" ht="25.2" customHeight="1">
      <c r="B199" s="176"/>
      <c r="D199" s="177"/>
      <c r="E199" s="178"/>
      <c r="F199" s="178"/>
    </row>
    <row r="200" spans="2:6" ht="25.2" customHeight="1">
      <c r="B200" s="176"/>
      <c r="D200" s="177"/>
      <c r="E200" s="178"/>
      <c r="F200" s="178"/>
    </row>
    <row r="201" spans="2:6" ht="25.2" customHeight="1">
      <c r="B201" s="176"/>
      <c r="D201" s="177"/>
      <c r="E201" s="178"/>
      <c r="F201" s="178"/>
    </row>
    <row r="202" spans="2:6" ht="25.2" customHeight="1">
      <c r="B202" s="176"/>
      <c r="D202" s="177"/>
      <c r="E202" s="178"/>
      <c r="F202" s="178"/>
    </row>
    <row r="203" spans="2:6" ht="25.2" customHeight="1">
      <c r="B203" s="176"/>
      <c r="D203" s="177"/>
      <c r="E203" s="178"/>
      <c r="F203" s="178"/>
    </row>
    <row r="204" spans="2:6" ht="25.2" customHeight="1">
      <c r="B204" s="176"/>
      <c r="D204" s="177"/>
      <c r="E204" s="178"/>
      <c r="F204" s="178"/>
    </row>
    <row r="205" spans="2:6" ht="25.2" customHeight="1">
      <c r="B205" s="176"/>
      <c r="D205" s="177"/>
      <c r="E205" s="178"/>
      <c r="F205" s="178"/>
    </row>
    <row r="206" spans="2:6" ht="25.2" customHeight="1">
      <c r="B206" s="176"/>
      <c r="D206" s="177"/>
      <c r="E206" s="178"/>
      <c r="F206" s="178"/>
    </row>
    <row r="207" spans="2:6" ht="25.2" customHeight="1">
      <c r="B207" s="176"/>
      <c r="D207" s="177"/>
      <c r="E207" s="178"/>
      <c r="F207" s="178"/>
    </row>
    <row r="208" spans="2:6" ht="25.2" customHeight="1">
      <c r="B208" s="176"/>
      <c r="D208" s="177"/>
      <c r="E208" s="178"/>
      <c r="F208" s="178"/>
    </row>
    <row r="209" spans="2:6" ht="25.2" customHeight="1">
      <c r="B209" s="176"/>
      <c r="D209" s="177"/>
      <c r="E209" s="178"/>
      <c r="F209" s="178"/>
    </row>
    <row r="210" spans="2:6" ht="25.2" customHeight="1">
      <c r="B210" s="176"/>
      <c r="D210" s="177"/>
      <c r="E210" s="178"/>
      <c r="F210" s="178"/>
    </row>
    <row r="211" spans="2:6" ht="25.2" customHeight="1">
      <c r="B211" s="176"/>
      <c r="D211" s="177"/>
      <c r="E211" s="178"/>
      <c r="F211" s="178"/>
    </row>
    <row r="212" spans="2:6" ht="25.2" customHeight="1">
      <c r="B212" s="176"/>
      <c r="D212" s="177"/>
      <c r="E212" s="178"/>
      <c r="F212" s="178"/>
    </row>
    <row r="213" spans="2:6" ht="25.2" customHeight="1">
      <c r="B213" s="176"/>
      <c r="D213" s="177"/>
      <c r="E213" s="178"/>
      <c r="F213" s="178"/>
    </row>
    <row r="214" spans="2:6" ht="25.2" customHeight="1">
      <c r="B214" s="176"/>
      <c r="D214" s="177"/>
      <c r="E214" s="178"/>
      <c r="F214" s="178"/>
    </row>
    <row r="215" spans="2:6" ht="25.2" customHeight="1">
      <c r="B215" s="176"/>
      <c r="D215" s="177"/>
      <c r="E215" s="178"/>
      <c r="F215" s="178"/>
    </row>
    <row r="216" spans="2:6" ht="25.2" customHeight="1">
      <c r="B216" s="176"/>
      <c r="D216" s="177"/>
      <c r="E216" s="178"/>
      <c r="F216" s="178"/>
    </row>
    <row r="217" spans="2:6" ht="25.2" customHeight="1">
      <c r="B217" s="176"/>
      <c r="D217" s="177"/>
      <c r="E217" s="178"/>
      <c r="F217" s="178"/>
    </row>
    <row r="218" spans="2:6" ht="25.2" customHeight="1">
      <c r="B218" s="176"/>
      <c r="D218" s="177"/>
      <c r="E218" s="178"/>
      <c r="F218" s="178"/>
    </row>
    <row r="219" spans="2:6" ht="25.2" customHeight="1">
      <c r="B219" s="176"/>
      <c r="D219" s="177"/>
      <c r="E219" s="178"/>
      <c r="F219" s="178"/>
    </row>
    <row r="220" spans="2:6" ht="25.2" customHeight="1">
      <c r="B220" s="176"/>
      <c r="D220" s="177"/>
      <c r="E220" s="178"/>
      <c r="F220" s="178"/>
    </row>
    <row r="221" spans="2:6" ht="25.2" customHeight="1">
      <c r="B221" s="176"/>
      <c r="D221" s="177"/>
      <c r="E221" s="178"/>
      <c r="F221" s="178"/>
    </row>
    <row r="222" spans="2:6" ht="25.2" customHeight="1">
      <c r="B222" s="176"/>
      <c r="D222" s="177"/>
      <c r="E222" s="178"/>
      <c r="F222" s="178"/>
    </row>
    <row r="223" spans="2:6" ht="25.2" customHeight="1">
      <c r="B223" s="176"/>
      <c r="D223" s="177"/>
      <c r="E223" s="178"/>
      <c r="F223" s="178"/>
    </row>
    <row r="224" spans="2:6" ht="25.2" customHeight="1">
      <c r="B224" s="176"/>
      <c r="D224" s="177"/>
      <c r="E224" s="178"/>
      <c r="F224" s="178"/>
    </row>
    <row r="225" spans="2:6" ht="25.2" customHeight="1">
      <c r="B225" s="176"/>
      <c r="D225" s="177"/>
      <c r="E225" s="178"/>
      <c r="F225" s="178"/>
    </row>
    <row r="226" spans="2:6" ht="25.2" customHeight="1">
      <c r="B226" s="176"/>
      <c r="D226" s="177"/>
      <c r="E226" s="178"/>
      <c r="F226" s="178"/>
    </row>
    <row r="227" spans="2:6" ht="25.2" customHeight="1">
      <c r="B227" s="176"/>
      <c r="D227" s="177"/>
      <c r="E227" s="178"/>
      <c r="F227" s="178"/>
    </row>
    <row r="228" spans="2:6" ht="25.2" customHeight="1">
      <c r="B228" s="176"/>
      <c r="D228" s="177"/>
      <c r="E228" s="178"/>
      <c r="F228" s="178"/>
    </row>
    <row r="229" spans="2:6" ht="25.2" customHeight="1">
      <c r="B229" s="176"/>
      <c r="D229" s="177"/>
      <c r="E229" s="178"/>
      <c r="F229" s="178"/>
    </row>
    <row r="230" spans="2:6" ht="25.2" customHeight="1">
      <c r="B230" s="176"/>
      <c r="D230" s="177"/>
      <c r="E230" s="178"/>
      <c r="F230" s="178"/>
    </row>
    <row r="231" spans="2:6" ht="25.2" customHeight="1">
      <c r="B231" s="176"/>
      <c r="D231" s="177"/>
      <c r="E231" s="178"/>
      <c r="F231" s="178"/>
    </row>
    <row r="232" spans="2:6" ht="25.2" customHeight="1">
      <c r="B232" s="176"/>
      <c r="D232" s="177"/>
      <c r="E232" s="178"/>
      <c r="F232" s="178"/>
    </row>
    <row r="233" spans="2:6" ht="25.2" customHeight="1">
      <c r="B233" s="176"/>
      <c r="D233" s="177"/>
      <c r="E233" s="178"/>
      <c r="F233" s="178"/>
    </row>
    <row r="234" spans="2:6" ht="25.2" customHeight="1">
      <c r="B234" s="176"/>
      <c r="D234" s="177"/>
      <c r="E234" s="178"/>
      <c r="F234" s="178"/>
    </row>
    <row r="235" spans="2:6" ht="25.2" customHeight="1">
      <c r="B235" s="176"/>
      <c r="D235" s="177"/>
      <c r="E235" s="178"/>
      <c r="F235" s="178"/>
    </row>
    <row r="236" spans="2:6" ht="25.2" customHeight="1">
      <c r="B236" s="176"/>
      <c r="D236" s="177"/>
      <c r="E236" s="178"/>
      <c r="F236" s="178"/>
    </row>
    <row r="237" spans="2:6" ht="25.2" customHeight="1">
      <c r="B237" s="176"/>
      <c r="D237" s="177"/>
      <c r="E237" s="178"/>
      <c r="F237" s="178"/>
    </row>
    <row r="238" spans="2:6" ht="25.2" customHeight="1">
      <c r="B238" s="176"/>
      <c r="D238" s="177"/>
      <c r="E238" s="178"/>
      <c r="F238" s="178"/>
    </row>
    <row r="239" spans="2:6" ht="25.2" customHeight="1">
      <c r="B239" s="176"/>
      <c r="D239" s="177"/>
      <c r="E239" s="178"/>
      <c r="F239" s="178"/>
    </row>
    <row r="240" spans="2:6" ht="25.2" customHeight="1">
      <c r="B240" s="176"/>
      <c r="D240" s="177"/>
      <c r="E240" s="178"/>
      <c r="F240" s="178"/>
    </row>
    <row r="241" spans="2:6" ht="25.2" customHeight="1">
      <c r="B241" s="176"/>
      <c r="D241" s="177"/>
      <c r="E241" s="178"/>
      <c r="F241" s="178"/>
    </row>
    <row r="242" spans="2:6" ht="25.2" customHeight="1">
      <c r="B242" s="176"/>
      <c r="D242" s="177"/>
      <c r="E242" s="178"/>
      <c r="F242" s="178"/>
    </row>
    <row r="243" spans="2:6" ht="25.2" customHeight="1">
      <c r="B243" s="176"/>
      <c r="D243" s="177"/>
      <c r="E243" s="178"/>
      <c r="F243" s="178"/>
    </row>
    <row r="244" spans="2:6" ht="25.2" customHeight="1">
      <c r="B244" s="176"/>
      <c r="D244" s="177"/>
      <c r="E244" s="178"/>
      <c r="F244" s="178"/>
    </row>
    <row r="245" spans="2:6" ht="25.2" customHeight="1">
      <c r="B245" s="176"/>
      <c r="D245" s="177"/>
      <c r="E245" s="178"/>
      <c r="F245" s="178"/>
    </row>
    <row r="246" spans="2:6" ht="25.2" customHeight="1">
      <c r="B246" s="176"/>
      <c r="D246" s="177"/>
      <c r="E246" s="178"/>
      <c r="F246" s="178"/>
    </row>
    <row r="247" spans="2:6" ht="25.2" customHeight="1">
      <c r="B247" s="176"/>
      <c r="D247" s="177"/>
      <c r="E247" s="178"/>
      <c r="F247" s="178"/>
    </row>
  </sheetData>
  <mergeCells count="143">
    <mergeCell ref="K31:K32"/>
    <mergeCell ref="L31:L32"/>
    <mergeCell ref="M31:M32"/>
    <mergeCell ref="N31:N32"/>
    <mergeCell ref="O31:O32"/>
    <mergeCell ref="N29:N30"/>
    <mergeCell ref="O29:O30"/>
    <mergeCell ref="A31:A32"/>
    <mergeCell ref="D31:D32"/>
    <mergeCell ref="E31:E32"/>
    <mergeCell ref="F31:F32"/>
    <mergeCell ref="G31:G32"/>
    <mergeCell ref="H31:H32"/>
    <mergeCell ref="I31:I32"/>
    <mergeCell ref="J31:J32"/>
    <mergeCell ref="H29:H30"/>
    <mergeCell ref="I29:I30"/>
    <mergeCell ref="J29:J30"/>
    <mergeCell ref="K29:K30"/>
    <mergeCell ref="L29:L30"/>
    <mergeCell ref="M29:M30"/>
    <mergeCell ref="K27:K28"/>
    <mergeCell ref="L27:L28"/>
    <mergeCell ref="M27:M28"/>
    <mergeCell ref="N27:N28"/>
    <mergeCell ref="O27:O28"/>
    <mergeCell ref="A29:A30"/>
    <mergeCell ref="D29:D30"/>
    <mergeCell ref="E29:E30"/>
    <mergeCell ref="F29:F30"/>
    <mergeCell ref="G29:G30"/>
    <mergeCell ref="A27:A28"/>
    <mergeCell ref="D27:D28"/>
    <mergeCell ref="E27:E28"/>
    <mergeCell ref="F27:F28"/>
    <mergeCell ref="G27:G28"/>
    <mergeCell ref="H27:H28"/>
    <mergeCell ref="I27:I28"/>
    <mergeCell ref="J27:J28"/>
    <mergeCell ref="H25:H26"/>
    <mergeCell ref="I25:I26"/>
    <mergeCell ref="J25:J26"/>
    <mergeCell ref="K23:K24"/>
    <mergeCell ref="L23:L24"/>
    <mergeCell ref="M23:M24"/>
    <mergeCell ref="N23:N24"/>
    <mergeCell ref="O23:O24"/>
    <mergeCell ref="A25:A26"/>
    <mergeCell ref="D25:D26"/>
    <mergeCell ref="E25:E26"/>
    <mergeCell ref="F25:F26"/>
    <mergeCell ref="G25:G26"/>
    <mergeCell ref="N25:N26"/>
    <mergeCell ref="O25:O26"/>
    <mergeCell ref="K25:K26"/>
    <mergeCell ref="L25:L26"/>
    <mergeCell ref="M25:M26"/>
    <mergeCell ref="A23:A24"/>
    <mergeCell ref="D23:D24"/>
    <mergeCell ref="E23:E24"/>
    <mergeCell ref="F23:F24"/>
    <mergeCell ref="G23:G24"/>
    <mergeCell ref="H23:H24"/>
    <mergeCell ref="I23:I24"/>
    <mergeCell ref="J23:J24"/>
    <mergeCell ref="H21:H22"/>
    <mergeCell ref="I21:I22"/>
    <mergeCell ref="J21:J22"/>
    <mergeCell ref="K19:K20"/>
    <mergeCell ref="L19:L20"/>
    <mergeCell ref="M19:M20"/>
    <mergeCell ref="N19:N20"/>
    <mergeCell ref="O19:O20"/>
    <mergeCell ref="A21:A22"/>
    <mergeCell ref="D21:D22"/>
    <mergeCell ref="E21:E22"/>
    <mergeCell ref="F21:F22"/>
    <mergeCell ref="G21:G22"/>
    <mergeCell ref="N21:N22"/>
    <mergeCell ref="O21:O22"/>
    <mergeCell ref="K21:K22"/>
    <mergeCell ref="L21:L22"/>
    <mergeCell ref="M21:M22"/>
    <mergeCell ref="A19:A20"/>
    <mergeCell ref="D19:D20"/>
    <mergeCell ref="E19:E20"/>
    <mergeCell ref="F19:F20"/>
    <mergeCell ref="G19:G20"/>
    <mergeCell ref="H19:H20"/>
    <mergeCell ref="I19:I20"/>
    <mergeCell ref="J19:J20"/>
    <mergeCell ref="H17:H18"/>
    <mergeCell ref="I17:I18"/>
    <mergeCell ref="J17:J18"/>
    <mergeCell ref="M15:M16"/>
    <mergeCell ref="N15:N16"/>
    <mergeCell ref="O15:O16"/>
    <mergeCell ref="A17:A18"/>
    <mergeCell ref="D17:D18"/>
    <mergeCell ref="E17:E18"/>
    <mergeCell ref="F17:F18"/>
    <mergeCell ref="G17:G18"/>
    <mergeCell ref="N17:N18"/>
    <mergeCell ref="O17:O18"/>
    <mergeCell ref="K17:K18"/>
    <mergeCell ref="L17:L18"/>
    <mergeCell ref="M17:M18"/>
    <mergeCell ref="A12:A13"/>
    <mergeCell ref="D12:D13"/>
    <mergeCell ref="E12:E13"/>
    <mergeCell ref="F12:F13"/>
    <mergeCell ref="G12:G13"/>
    <mergeCell ref="H12:H13"/>
    <mergeCell ref="O12:O13"/>
    <mergeCell ref="A15:A16"/>
    <mergeCell ref="D15:D16"/>
    <mergeCell ref="E15:E16"/>
    <mergeCell ref="F15:F16"/>
    <mergeCell ref="G15:G16"/>
    <mergeCell ref="H15:H16"/>
    <mergeCell ref="I15:I16"/>
    <mergeCell ref="J15:J16"/>
    <mergeCell ref="I12:I13"/>
    <mergeCell ref="J12:J13"/>
    <mergeCell ref="K12:K13"/>
    <mergeCell ref="L12:L13"/>
    <mergeCell ref="M12:M13"/>
    <mergeCell ref="N12:N13"/>
    <mergeCell ref="K15:K16"/>
    <mergeCell ref="L15:L16"/>
    <mergeCell ref="A10:A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</mergeCells>
  <printOptions horizontalCentered="1"/>
  <pageMargins left="0.2" right="0.2" top="1.1013888888888901" bottom="0.25138888888888899" header="0.297916666666667" footer="0.297916666666667"/>
  <pageSetup paperSize="9" scale="41" fitToHeight="0" orientation="landscape" r:id="rId1"/>
  <headerFooter scaleWithDoc="0" alignWithMargins="0">
    <oddHeader>&amp;C&amp;G</oddHeader>
  </headerFooter>
  <rowBreaks count="5" manualBreakCount="5">
    <brk id="33" max="16383" man="1"/>
    <brk id="33" max="16383" man="1"/>
    <brk id="33" max="16383" man="1"/>
    <brk id="33" max="16383" man="1"/>
    <brk id="33" max="16383" man="1"/>
  </rowBreaks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O20"/>
  <sheetViews>
    <sheetView view="pageBreakPreview" zoomScale="55" zoomScaleNormal="90" zoomScaleSheetLayoutView="55" workbookViewId="0">
      <pane ySplit="7" topLeftCell="A8" activePane="bottomLeft" state="frozen"/>
      <selection activeCell="D18" sqref="D18"/>
      <selection pane="bottomLeft" activeCell="A6" sqref="A6:A7"/>
    </sheetView>
  </sheetViews>
  <sheetFormatPr defaultColWidth="9.109375" defaultRowHeight="35.1" customHeight="1"/>
  <cols>
    <col min="1" max="1" width="15.6640625" style="1" customWidth="1"/>
    <col min="2" max="2" width="100.6640625" style="1" customWidth="1"/>
    <col min="3" max="5" width="15.6640625" style="1" customWidth="1"/>
    <col min="6" max="6" width="13.6640625" style="1" customWidth="1"/>
    <col min="7" max="7" width="15.44140625" style="1" customWidth="1"/>
    <col min="8" max="8" width="17" style="1" customWidth="1"/>
    <col min="9" max="9" width="12.6640625" style="1" customWidth="1"/>
    <col min="10" max="10" width="13.6640625" style="1" customWidth="1"/>
    <col min="11" max="11" width="16.6640625" style="1" customWidth="1"/>
    <col min="12" max="12" width="13.6640625" style="1" customWidth="1"/>
    <col min="13" max="13" width="12.6640625" style="1" customWidth="1"/>
    <col min="14" max="14" width="13.6640625" style="1" customWidth="1"/>
    <col min="15" max="15" width="19.6640625" style="1" customWidth="1"/>
    <col min="16" max="16384" width="9.109375" style="1"/>
  </cols>
  <sheetData>
    <row r="1" spans="1:15" ht="33" customHeight="1">
      <c r="A1" s="179"/>
      <c r="B1" s="324" t="str">
        <f>'Bill Summary'!B1:O1</f>
        <v xml:space="preserve">Name of a project /  Название котракту             </v>
      </c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</row>
    <row r="2" spans="1:15" ht="79.5" customHeight="1">
      <c r="A2" s="179"/>
      <c r="B2" s="324" t="str">
        <f>'Bill Summary'!B2:O2</f>
        <v>Contract identifier / 
Идентификатор контракта</v>
      </c>
      <c r="C2" s="324"/>
      <c r="D2" s="324"/>
      <c r="E2" s="324"/>
      <c r="F2" s="324"/>
      <c r="G2" s="324"/>
      <c r="H2" s="324"/>
      <c r="I2" s="324"/>
      <c r="J2" s="324"/>
      <c r="K2" s="324"/>
      <c r="L2" s="324"/>
      <c r="M2" s="324"/>
      <c r="N2" s="324"/>
      <c r="O2" s="324"/>
    </row>
    <row r="3" spans="1:15" ht="27.9" customHeight="1">
      <c r="A3" s="179"/>
      <c r="B3" s="324" t="str">
        <f>'Bill Summary'!B3</f>
        <v>IPC #   / СПП № #</v>
      </c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</row>
    <row r="4" spans="1:15" ht="40.200000000000003" customHeight="1">
      <c r="A4" s="179"/>
      <c r="B4" s="321" t="str">
        <f>'Bill Summary'!B4:C4</f>
        <v>Start of Works/ Начало работ :  DD.MM.YYYY</v>
      </c>
      <c r="C4" s="321"/>
      <c r="D4" s="35"/>
      <c r="E4" s="35"/>
      <c r="F4" s="35"/>
      <c r="G4" s="33"/>
      <c r="H4" s="35"/>
      <c r="I4" s="333" t="s">
        <v>48</v>
      </c>
      <c r="J4" s="333"/>
      <c r="K4" s="333"/>
      <c r="L4" s="333"/>
      <c r="M4" s="333" t="str">
        <f>'Cover of IPC '!D7</f>
        <v>DD.MM.YYYY - DD.MM.YYYY</v>
      </c>
      <c r="N4" s="333"/>
      <c r="O4" s="333"/>
    </row>
    <row r="5" spans="1:15" ht="26.25" customHeight="1">
      <c r="A5" s="332" t="s">
        <v>203</v>
      </c>
      <c r="B5" s="332"/>
      <c r="C5" s="332"/>
      <c r="D5" s="332"/>
      <c r="E5" s="332"/>
      <c r="F5" s="332"/>
      <c r="G5" s="332"/>
      <c r="H5" s="332"/>
      <c r="I5" s="332"/>
      <c r="J5" s="332"/>
      <c r="K5" s="332"/>
      <c r="L5" s="332"/>
      <c r="M5" s="332"/>
      <c r="N5" s="332"/>
      <c r="O5" s="332"/>
    </row>
    <row r="6" spans="1:15" ht="73.5" customHeight="1">
      <c r="A6" s="334" t="s">
        <v>185</v>
      </c>
      <c r="B6" s="112" t="s">
        <v>140</v>
      </c>
      <c r="C6" s="112" t="s">
        <v>141</v>
      </c>
      <c r="D6" s="113" t="s">
        <v>142</v>
      </c>
      <c r="E6" s="114" t="s">
        <v>143</v>
      </c>
      <c r="F6" s="114" t="s">
        <v>144</v>
      </c>
      <c r="G6" s="348" t="s">
        <v>256</v>
      </c>
      <c r="H6" s="347"/>
      <c r="I6" s="347" t="s">
        <v>146</v>
      </c>
      <c r="J6" s="347"/>
      <c r="K6" s="347" t="s">
        <v>147</v>
      </c>
      <c r="L6" s="347"/>
      <c r="M6" s="348" t="s">
        <v>148</v>
      </c>
      <c r="N6" s="347"/>
      <c r="O6" s="115" t="s">
        <v>149</v>
      </c>
    </row>
    <row r="7" spans="1:15" ht="49.95" customHeight="1">
      <c r="A7" s="334"/>
      <c r="B7" s="113" t="s">
        <v>152</v>
      </c>
      <c r="C7" s="133" t="s">
        <v>153</v>
      </c>
      <c r="D7" s="133" t="s">
        <v>154</v>
      </c>
      <c r="E7" s="134" t="s">
        <v>155</v>
      </c>
      <c r="F7" s="134" t="s">
        <v>156</v>
      </c>
      <c r="G7" s="115" t="s">
        <v>158</v>
      </c>
      <c r="H7" s="115" t="s">
        <v>159</v>
      </c>
      <c r="I7" s="115" t="s">
        <v>158</v>
      </c>
      <c r="J7" s="115" t="s">
        <v>159</v>
      </c>
      <c r="K7" s="115" t="s">
        <v>158</v>
      </c>
      <c r="L7" s="115" t="s">
        <v>159</v>
      </c>
      <c r="M7" s="115" t="s">
        <v>158</v>
      </c>
      <c r="N7" s="115" t="s">
        <v>159</v>
      </c>
      <c r="O7" s="135" t="s">
        <v>63</v>
      </c>
    </row>
    <row r="8" spans="1:15" ht="26.1" customHeight="1">
      <c r="A8" s="160"/>
      <c r="B8" s="161"/>
      <c r="C8" s="161"/>
      <c r="D8" s="161" t="s">
        <v>160</v>
      </c>
      <c r="E8" s="161" t="s">
        <v>160</v>
      </c>
      <c r="F8" s="161" t="s">
        <v>161</v>
      </c>
      <c r="G8" s="161" t="s">
        <v>160</v>
      </c>
      <c r="H8" s="161" t="s">
        <v>160</v>
      </c>
      <c r="I8" s="161" t="s">
        <v>187</v>
      </c>
      <c r="J8" s="161" t="s">
        <v>204</v>
      </c>
      <c r="K8" s="161" t="s">
        <v>160</v>
      </c>
      <c r="L8" s="161" t="s">
        <v>205</v>
      </c>
      <c r="M8" s="161" t="s">
        <v>206</v>
      </c>
      <c r="N8" s="161" t="s">
        <v>207</v>
      </c>
      <c r="O8" s="161" t="s">
        <v>208</v>
      </c>
    </row>
    <row r="9" spans="1:15" ht="26.1" customHeight="1">
      <c r="A9" s="275"/>
      <c r="B9" s="163"/>
      <c r="C9" s="164"/>
      <c r="D9" s="276"/>
      <c r="E9" s="277"/>
      <c r="F9" s="278">
        <f>D9*E9</f>
        <v>0</v>
      </c>
      <c r="G9" s="272"/>
      <c r="H9" s="273">
        <f>G9*$E9</f>
        <v>0</v>
      </c>
      <c r="I9" s="272">
        <f>K9-G9</f>
        <v>0</v>
      </c>
      <c r="J9" s="273">
        <f>I9*$E9</f>
        <v>0</v>
      </c>
      <c r="K9" s="272"/>
      <c r="L9" s="273">
        <f>K9*$E9</f>
        <v>0</v>
      </c>
      <c r="M9" s="272">
        <f>D9-$K9</f>
        <v>0</v>
      </c>
      <c r="N9" s="273">
        <f>M9*$E9</f>
        <v>0</v>
      </c>
      <c r="O9" s="274" t="e">
        <f>N9/F9</f>
        <v>#DIV/0!</v>
      </c>
    </row>
    <row r="10" spans="1:15" ht="26.1" customHeight="1">
      <c r="A10" s="275"/>
      <c r="B10" s="163"/>
      <c r="C10" s="164"/>
      <c r="D10" s="276"/>
      <c r="E10" s="277"/>
      <c r="F10" s="278"/>
      <c r="G10" s="272"/>
      <c r="H10" s="273"/>
      <c r="I10" s="272"/>
      <c r="J10" s="273"/>
      <c r="K10" s="272"/>
      <c r="L10" s="273"/>
      <c r="M10" s="272"/>
      <c r="N10" s="273"/>
      <c r="O10" s="274"/>
    </row>
    <row r="11" spans="1:15" ht="26.1" customHeight="1">
      <c r="A11" s="275"/>
      <c r="B11" s="163"/>
      <c r="C11" s="164"/>
      <c r="D11" s="276"/>
      <c r="E11" s="277"/>
      <c r="F11" s="278">
        <f>D11*E11</f>
        <v>0</v>
      </c>
      <c r="G11" s="272"/>
      <c r="H11" s="273">
        <f>G11*$E11</f>
        <v>0</v>
      </c>
      <c r="I11" s="272">
        <f>K11-G11</f>
        <v>0</v>
      </c>
      <c r="J11" s="273">
        <f>I11*$E11</f>
        <v>0</v>
      </c>
      <c r="K11" s="272"/>
      <c r="L11" s="273">
        <f>K11*$E11</f>
        <v>0</v>
      </c>
      <c r="M11" s="272">
        <f>D11-$K11</f>
        <v>0</v>
      </c>
      <c r="N11" s="273">
        <f>M11*$E11</f>
        <v>0</v>
      </c>
      <c r="O11" s="274" t="e">
        <f>N11/F11</f>
        <v>#DIV/0!</v>
      </c>
    </row>
    <row r="12" spans="1:15" ht="26.1" customHeight="1">
      <c r="A12" s="275"/>
      <c r="B12" s="163"/>
      <c r="C12" s="164"/>
      <c r="D12" s="276"/>
      <c r="E12" s="277"/>
      <c r="F12" s="278"/>
      <c r="G12" s="272"/>
      <c r="H12" s="273"/>
      <c r="I12" s="272"/>
      <c r="J12" s="273"/>
      <c r="K12" s="272"/>
      <c r="L12" s="273"/>
      <c r="M12" s="272"/>
      <c r="N12" s="273"/>
      <c r="O12" s="274"/>
    </row>
    <row r="13" spans="1:15" ht="26.1" customHeight="1">
      <c r="A13" s="275"/>
      <c r="B13" s="163"/>
      <c r="C13" s="164"/>
      <c r="D13" s="276"/>
      <c r="E13" s="277"/>
      <c r="F13" s="278">
        <f>D13*E13</f>
        <v>0</v>
      </c>
      <c r="G13" s="272"/>
      <c r="H13" s="273">
        <f>G13*$E13</f>
        <v>0</v>
      </c>
      <c r="I13" s="272">
        <f>K13-G13</f>
        <v>0</v>
      </c>
      <c r="J13" s="273">
        <f>I13*$E13</f>
        <v>0</v>
      </c>
      <c r="K13" s="272"/>
      <c r="L13" s="273">
        <f>K13*$E13</f>
        <v>0</v>
      </c>
      <c r="M13" s="272">
        <f>D13-$K13</f>
        <v>0</v>
      </c>
      <c r="N13" s="273">
        <f>M13*$E13</f>
        <v>0</v>
      </c>
      <c r="O13" s="274" t="e">
        <f>N13/F13</f>
        <v>#DIV/0!</v>
      </c>
    </row>
    <row r="14" spans="1:15" ht="26.1" customHeight="1">
      <c r="A14" s="275"/>
      <c r="B14" s="163"/>
      <c r="C14" s="164"/>
      <c r="D14" s="276"/>
      <c r="E14" s="277"/>
      <c r="F14" s="278"/>
      <c r="G14" s="272"/>
      <c r="H14" s="273"/>
      <c r="I14" s="272"/>
      <c r="J14" s="273"/>
      <c r="K14" s="272"/>
      <c r="L14" s="273"/>
      <c r="M14" s="272"/>
      <c r="N14" s="273"/>
      <c r="O14" s="274"/>
    </row>
    <row r="15" spans="1:15" ht="26.1" customHeight="1">
      <c r="A15" s="275"/>
      <c r="B15" s="163"/>
      <c r="C15" s="164"/>
      <c r="D15" s="276"/>
      <c r="E15" s="277"/>
      <c r="F15" s="278">
        <f>D15*E15</f>
        <v>0</v>
      </c>
      <c r="G15" s="272"/>
      <c r="H15" s="273">
        <f>G15*$E15</f>
        <v>0</v>
      </c>
      <c r="I15" s="272">
        <f>K15-G15</f>
        <v>0</v>
      </c>
      <c r="J15" s="273">
        <f>I15*$E15</f>
        <v>0</v>
      </c>
      <c r="K15" s="272"/>
      <c r="L15" s="273">
        <f>K15*$E15</f>
        <v>0</v>
      </c>
      <c r="M15" s="272">
        <f>D15-$K15</f>
        <v>0</v>
      </c>
      <c r="N15" s="273">
        <f>M15*$E15</f>
        <v>0</v>
      </c>
      <c r="O15" s="274" t="e">
        <f>N15/F15</f>
        <v>#DIV/0!</v>
      </c>
    </row>
    <row r="16" spans="1:15" ht="26.1" customHeight="1">
      <c r="A16" s="275"/>
      <c r="B16" s="163"/>
      <c r="C16" s="164"/>
      <c r="D16" s="276"/>
      <c r="E16" s="277"/>
      <c r="F16" s="278"/>
      <c r="G16" s="272"/>
      <c r="H16" s="273"/>
      <c r="I16" s="272"/>
      <c r="J16" s="273"/>
      <c r="K16" s="272"/>
      <c r="L16" s="273"/>
      <c r="M16" s="272"/>
      <c r="N16" s="273"/>
      <c r="O16" s="274"/>
    </row>
    <row r="17" spans="1:15" ht="26.1" customHeight="1">
      <c r="A17" s="275"/>
      <c r="B17" s="163"/>
      <c r="C17" s="164"/>
      <c r="D17" s="276"/>
      <c r="E17" s="277"/>
      <c r="F17" s="278">
        <f>D17*E17</f>
        <v>0</v>
      </c>
      <c r="G17" s="272"/>
      <c r="H17" s="273">
        <f>G17*$E17</f>
        <v>0</v>
      </c>
      <c r="I17" s="272">
        <f>K17-G17</f>
        <v>0</v>
      </c>
      <c r="J17" s="273">
        <f>I17*$E17</f>
        <v>0</v>
      </c>
      <c r="K17" s="272"/>
      <c r="L17" s="273">
        <f>K17*$E17</f>
        <v>0</v>
      </c>
      <c r="M17" s="272">
        <f>D17-$K17</f>
        <v>0</v>
      </c>
      <c r="N17" s="273">
        <f>M17*$E17</f>
        <v>0</v>
      </c>
      <c r="O17" s="274" t="e">
        <f>N17/F17</f>
        <v>#DIV/0!</v>
      </c>
    </row>
    <row r="18" spans="1:15" ht="26.1" customHeight="1">
      <c r="A18" s="275"/>
      <c r="B18" s="163"/>
      <c r="C18" s="164"/>
      <c r="D18" s="276"/>
      <c r="E18" s="277"/>
      <c r="F18" s="278"/>
      <c r="G18" s="272"/>
      <c r="H18" s="273"/>
      <c r="I18" s="272"/>
      <c r="J18" s="273"/>
      <c r="K18" s="272"/>
      <c r="L18" s="273"/>
      <c r="M18" s="272"/>
      <c r="N18" s="273"/>
      <c r="O18" s="274"/>
    </row>
    <row r="19" spans="1:15" ht="33.9" customHeight="1">
      <c r="A19" s="172" t="s">
        <v>209</v>
      </c>
      <c r="B19" s="345" t="s">
        <v>210</v>
      </c>
      <c r="C19" s="345"/>
      <c r="D19" s="345"/>
      <c r="E19" s="345"/>
      <c r="F19" s="173">
        <f>SUM(F9:F18)</f>
        <v>0</v>
      </c>
      <c r="G19" s="180"/>
      <c r="H19" s="173">
        <f>SUM(H9:H18)</f>
        <v>0</v>
      </c>
      <c r="I19" s="180"/>
      <c r="J19" s="173">
        <f>SUM(J9:J18)</f>
        <v>0</v>
      </c>
      <c r="K19" s="180"/>
      <c r="L19" s="173">
        <f>SUM(L9:L18)</f>
        <v>0</v>
      </c>
      <c r="M19" s="180"/>
      <c r="N19" s="173">
        <f>SUM(N9:N18)</f>
        <v>0</v>
      </c>
      <c r="O19" s="173"/>
    </row>
    <row r="20" spans="1:15" ht="35.1" customHeight="1">
      <c r="B20" s="181"/>
      <c r="C20" s="182"/>
      <c r="D20" s="183"/>
      <c r="E20" s="183"/>
      <c r="F20" s="183"/>
    </row>
  </sheetData>
  <mergeCells count="65">
    <mergeCell ref="I17:I18"/>
    <mergeCell ref="J17:J18"/>
    <mergeCell ref="K17:K18"/>
    <mergeCell ref="L17:L18"/>
    <mergeCell ref="L15:L16"/>
    <mergeCell ref="M15:M16"/>
    <mergeCell ref="N15:N16"/>
    <mergeCell ref="O15:O16"/>
    <mergeCell ref="A17:A18"/>
    <mergeCell ref="D17:D18"/>
    <mergeCell ref="E17:E18"/>
    <mergeCell ref="F17:F18"/>
    <mergeCell ref="G17:G18"/>
    <mergeCell ref="H17:H18"/>
    <mergeCell ref="O17:O18"/>
    <mergeCell ref="M17:M18"/>
    <mergeCell ref="N17:N18"/>
    <mergeCell ref="H15:H16"/>
    <mergeCell ref="I15:I16"/>
    <mergeCell ref="J15:J16"/>
    <mergeCell ref="K15:K16"/>
    <mergeCell ref="I13:I14"/>
    <mergeCell ref="J13:J14"/>
    <mergeCell ref="K13:K14"/>
    <mergeCell ref="A15:A16"/>
    <mergeCell ref="D15:D16"/>
    <mergeCell ref="E15:E16"/>
    <mergeCell ref="F15:F16"/>
    <mergeCell ref="G15:G16"/>
    <mergeCell ref="L11:L12"/>
    <mergeCell ref="M11:M12"/>
    <mergeCell ref="N11:N12"/>
    <mergeCell ref="O11:O12"/>
    <mergeCell ref="A13:A14"/>
    <mergeCell ref="D13:D14"/>
    <mergeCell ref="E13:E14"/>
    <mergeCell ref="F13:F14"/>
    <mergeCell ref="G13:G14"/>
    <mergeCell ref="H13:H14"/>
    <mergeCell ref="O13:O14"/>
    <mergeCell ref="L13:L14"/>
    <mergeCell ref="M13:M14"/>
    <mergeCell ref="N13:N14"/>
    <mergeCell ref="H11:H12"/>
    <mergeCell ref="I11:I12"/>
    <mergeCell ref="J11:J12"/>
    <mergeCell ref="K11:K12"/>
    <mergeCell ref="I9:I10"/>
    <mergeCell ref="J9:J10"/>
    <mergeCell ref="K9:K10"/>
    <mergeCell ref="A11:A12"/>
    <mergeCell ref="D11:D12"/>
    <mergeCell ref="E11:E12"/>
    <mergeCell ref="F11:F12"/>
    <mergeCell ref="G11:G12"/>
    <mergeCell ref="H9:H10"/>
    <mergeCell ref="A9:A10"/>
    <mergeCell ref="D9:D10"/>
    <mergeCell ref="E9:E10"/>
    <mergeCell ref="F9:F10"/>
    <mergeCell ref="G9:G10"/>
    <mergeCell ref="O9:O10"/>
    <mergeCell ref="L9:L10"/>
    <mergeCell ref="M9:M10"/>
    <mergeCell ref="N9:N10"/>
  </mergeCells>
  <printOptions horizontalCentered="1"/>
  <pageMargins left="0.55000000000000004" right="0.47152777777777799" top="1.1013888888888901" bottom="0.74791666666666701" header="0.31388888888888899" footer="0.31388888888888899"/>
  <pageSetup paperSize="9" scale="43" fitToHeight="0" orientation="landscape" r:id="rId1"/>
  <headerFooter scaleWithDoc="0" alignWithMargins="0">
    <oddHeader>&amp;C&amp;G</oddHead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P20"/>
  <sheetViews>
    <sheetView view="pageBreakPreview" zoomScale="55" zoomScaleNormal="85" zoomScaleSheetLayoutView="55" workbookViewId="0">
      <pane ySplit="7" topLeftCell="A8" activePane="bottomLeft" state="frozen"/>
      <selection activeCell="D18" sqref="D18"/>
      <selection pane="bottomLeft" activeCell="B4" sqref="B4"/>
    </sheetView>
  </sheetViews>
  <sheetFormatPr defaultColWidth="9.109375" defaultRowHeight="35.1" customHeight="1"/>
  <cols>
    <col min="1" max="1" width="15.6640625" style="1" customWidth="1"/>
    <col min="2" max="2" width="90.33203125" style="1" customWidth="1"/>
    <col min="3" max="3" width="15.6640625" style="1" customWidth="1"/>
    <col min="4" max="4" width="14.33203125" style="1" customWidth="1"/>
    <col min="5" max="6" width="15.6640625" style="1" customWidth="1"/>
    <col min="7" max="7" width="12.6640625" style="1" customWidth="1"/>
    <col min="8" max="8" width="13.6640625" style="1" customWidth="1"/>
    <col min="9" max="9" width="12.6640625" style="1" customWidth="1"/>
    <col min="10" max="10" width="13.6640625" style="1" customWidth="1"/>
    <col min="11" max="11" width="12.6640625" style="1" customWidth="1"/>
    <col min="12" max="12" width="13.6640625" style="1" customWidth="1"/>
    <col min="13" max="13" width="12.6640625" style="1" customWidth="1"/>
    <col min="14" max="14" width="13.6640625" style="1" customWidth="1"/>
    <col min="15" max="15" width="19.109375" style="1" customWidth="1"/>
    <col min="16" max="16384" width="9.109375" style="1"/>
  </cols>
  <sheetData>
    <row r="1" spans="1:15" ht="33" customHeight="1">
      <c r="A1" s="179"/>
      <c r="B1" s="324" t="str">
        <f>'Bill Summary'!B1:O1</f>
        <v xml:space="preserve">Name of a project /  Название котракту             </v>
      </c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</row>
    <row r="2" spans="1:15" ht="66" customHeight="1">
      <c r="A2" s="179"/>
      <c r="B2" s="324" t="str">
        <f>'Bill Summary'!B2:O2</f>
        <v>Contract identifier / 
Идентификатор контракта</v>
      </c>
      <c r="C2" s="324"/>
      <c r="D2" s="324"/>
      <c r="E2" s="324"/>
      <c r="F2" s="324"/>
      <c r="G2" s="324"/>
      <c r="H2" s="324"/>
      <c r="I2" s="324"/>
      <c r="J2" s="324"/>
      <c r="K2" s="324"/>
      <c r="L2" s="324"/>
      <c r="M2" s="324"/>
      <c r="N2" s="324"/>
      <c r="O2" s="324"/>
    </row>
    <row r="3" spans="1:15" ht="27.9" customHeight="1">
      <c r="A3" s="179"/>
      <c r="B3" s="324" t="str">
        <f>'Bill Summary'!B3:J3</f>
        <v>IPC #   / СПП № #</v>
      </c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</row>
    <row r="4" spans="1:15" ht="40.200000000000003" customHeight="1">
      <c r="A4" s="179"/>
      <c r="B4" s="321" t="str">
        <f>'Bill Summary'!B4:C4</f>
        <v>Start of Works/ Начало работ :  DD.MM.YYYY</v>
      </c>
      <c r="C4" s="321"/>
      <c r="D4" s="35"/>
      <c r="E4" s="35"/>
      <c r="F4" s="35"/>
      <c r="G4" s="33"/>
      <c r="H4" s="333" t="s">
        <v>48</v>
      </c>
      <c r="I4" s="333"/>
      <c r="J4" s="333"/>
      <c r="K4" s="333"/>
      <c r="L4" s="333"/>
      <c r="M4" s="333" t="str">
        <f>'Cover of IPC '!D7</f>
        <v>DD.MM.YYYY - DD.MM.YYYY</v>
      </c>
      <c r="N4" s="333"/>
      <c r="O4" s="333"/>
    </row>
    <row r="5" spans="1:15" ht="26.25" customHeight="1">
      <c r="A5" s="332" t="s">
        <v>211</v>
      </c>
      <c r="B5" s="332"/>
      <c r="C5" s="332"/>
      <c r="D5" s="332"/>
      <c r="E5" s="332"/>
      <c r="F5" s="332"/>
      <c r="G5" s="332"/>
      <c r="H5" s="332"/>
      <c r="I5" s="332"/>
      <c r="J5" s="332"/>
      <c r="K5" s="332"/>
      <c r="L5" s="332"/>
      <c r="M5" s="332"/>
      <c r="N5" s="332"/>
      <c r="O5" s="332"/>
    </row>
    <row r="6" spans="1:15" ht="69.75" customHeight="1">
      <c r="A6" s="334" t="s">
        <v>185</v>
      </c>
      <c r="B6" s="112" t="s">
        <v>140</v>
      </c>
      <c r="C6" s="112" t="s">
        <v>141</v>
      </c>
      <c r="D6" s="113" t="s">
        <v>142</v>
      </c>
      <c r="E6" s="114" t="s">
        <v>143</v>
      </c>
      <c r="F6" s="114" t="s">
        <v>144</v>
      </c>
      <c r="G6" s="348" t="s">
        <v>256</v>
      </c>
      <c r="H6" s="348"/>
      <c r="I6" s="347" t="s">
        <v>146</v>
      </c>
      <c r="J6" s="347"/>
      <c r="K6" s="347" t="s">
        <v>147</v>
      </c>
      <c r="L6" s="347"/>
      <c r="M6" s="348" t="s">
        <v>148</v>
      </c>
      <c r="N6" s="348"/>
      <c r="O6" s="115" t="s">
        <v>149</v>
      </c>
    </row>
    <row r="7" spans="1:15" ht="49.95" customHeight="1">
      <c r="A7" s="334"/>
      <c r="B7" s="113" t="s">
        <v>152</v>
      </c>
      <c r="C7" s="133" t="s">
        <v>153</v>
      </c>
      <c r="D7" s="133" t="s">
        <v>154</v>
      </c>
      <c r="E7" s="134" t="s">
        <v>155</v>
      </c>
      <c r="F7" s="134" t="s">
        <v>156</v>
      </c>
      <c r="G7" s="134" t="s">
        <v>158</v>
      </c>
      <c r="H7" s="134" t="s">
        <v>159</v>
      </c>
      <c r="I7" s="134" t="s">
        <v>158</v>
      </c>
      <c r="J7" s="134" t="s">
        <v>159</v>
      </c>
      <c r="K7" s="134" t="s">
        <v>158</v>
      </c>
      <c r="L7" s="134" t="s">
        <v>159</v>
      </c>
      <c r="M7" s="134" t="s">
        <v>158</v>
      </c>
      <c r="N7" s="134" t="s">
        <v>159</v>
      </c>
      <c r="O7" s="134" t="s">
        <v>63</v>
      </c>
    </row>
    <row r="8" spans="1:15" ht="49.8" customHeight="1">
      <c r="A8" s="160"/>
      <c r="B8" s="161"/>
      <c r="C8" s="161"/>
      <c r="D8" s="161" t="s">
        <v>160</v>
      </c>
      <c r="E8" s="161" t="s">
        <v>160</v>
      </c>
      <c r="F8" s="184" t="s">
        <v>161</v>
      </c>
      <c r="G8" s="161" t="s">
        <v>160</v>
      </c>
      <c r="H8" s="161" t="s">
        <v>212</v>
      </c>
      <c r="I8" s="161" t="s">
        <v>187</v>
      </c>
      <c r="J8" s="161" t="s">
        <v>204</v>
      </c>
      <c r="K8" s="161" t="s">
        <v>160</v>
      </c>
      <c r="L8" s="161" t="s">
        <v>205</v>
      </c>
      <c r="M8" s="161" t="s">
        <v>190</v>
      </c>
      <c r="N8" s="161" t="s">
        <v>207</v>
      </c>
      <c r="O8" s="161" t="s">
        <v>208</v>
      </c>
    </row>
    <row r="9" spans="1:15" ht="15.6">
      <c r="A9" s="275"/>
      <c r="B9" s="163"/>
      <c r="C9" s="164"/>
      <c r="D9" s="276"/>
      <c r="E9" s="278"/>
      <c r="F9" s="278">
        <f>D9*E9</f>
        <v>0</v>
      </c>
      <c r="G9" s="272"/>
      <c r="H9" s="273">
        <f>G9*$E9</f>
        <v>0</v>
      </c>
      <c r="I9" s="273">
        <f>K9-G9</f>
        <v>0</v>
      </c>
      <c r="J9" s="273">
        <f>I9*$E9</f>
        <v>0</v>
      </c>
      <c r="K9" s="272"/>
      <c r="L9" s="273">
        <f>K9*$E9</f>
        <v>0</v>
      </c>
      <c r="M9" s="272">
        <f>D9-$K9</f>
        <v>0</v>
      </c>
      <c r="N9" s="273">
        <f>M9*$E9</f>
        <v>0</v>
      </c>
      <c r="O9" s="274" t="e">
        <f>N9/F9</f>
        <v>#DIV/0!</v>
      </c>
    </row>
    <row r="10" spans="1:15" ht="15.6">
      <c r="A10" s="275"/>
      <c r="B10" s="163"/>
      <c r="C10" s="164"/>
      <c r="D10" s="276"/>
      <c r="E10" s="278"/>
      <c r="F10" s="278"/>
      <c r="G10" s="272"/>
      <c r="H10" s="273"/>
      <c r="I10" s="273"/>
      <c r="J10" s="273"/>
      <c r="K10" s="272"/>
      <c r="L10" s="273"/>
      <c r="M10" s="272"/>
      <c r="N10" s="273"/>
      <c r="O10" s="274"/>
    </row>
    <row r="11" spans="1:15" ht="15.6">
      <c r="A11" s="275"/>
      <c r="B11" s="163"/>
      <c r="C11" s="164"/>
      <c r="D11" s="276"/>
      <c r="E11" s="278"/>
      <c r="F11" s="278">
        <f>D11*E11</f>
        <v>0</v>
      </c>
      <c r="G11" s="272"/>
      <c r="H11" s="273">
        <f>G11*$E11</f>
        <v>0</v>
      </c>
      <c r="I11" s="273">
        <f>K11-G11</f>
        <v>0</v>
      </c>
      <c r="J11" s="273">
        <f>I11*$E11</f>
        <v>0</v>
      </c>
      <c r="K11" s="272"/>
      <c r="L11" s="273">
        <f>K11*$E11</f>
        <v>0</v>
      </c>
      <c r="M11" s="272">
        <f>D11-$K11</f>
        <v>0</v>
      </c>
      <c r="N11" s="273">
        <f>M11*$E11</f>
        <v>0</v>
      </c>
      <c r="O11" s="274" t="e">
        <f>N11/F11</f>
        <v>#DIV/0!</v>
      </c>
    </row>
    <row r="12" spans="1:15" ht="15.6">
      <c r="A12" s="275"/>
      <c r="B12" s="163"/>
      <c r="C12" s="164"/>
      <c r="D12" s="276"/>
      <c r="E12" s="278"/>
      <c r="F12" s="278"/>
      <c r="G12" s="272"/>
      <c r="H12" s="273"/>
      <c r="I12" s="273"/>
      <c r="J12" s="273"/>
      <c r="K12" s="272"/>
      <c r="L12" s="273"/>
      <c r="M12" s="272"/>
      <c r="N12" s="273"/>
      <c r="O12" s="274"/>
    </row>
    <row r="13" spans="1:15" ht="15.6">
      <c r="A13" s="275"/>
      <c r="B13" s="163"/>
      <c r="C13" s="164"/>
      <c r="D13" s="276"/>
      <c r="E13" s="278"/>
      <c r="F13" s="278">
        <f>D13*E13</f>
        <v>0</v>
      </c>
      <c r="G13" s="272"/>
      <c r="H13" s="273">
        <f>G13*$E13</f>
        <v>0</v>
      </c>
      <c r="I13" s="273">
        <f>K13-G13</f>
        <v>0</v>
      </c>
      <c r="J13" s="273">
        <f>I13*$E13</f>
        <v>0</v>
      </c>
      <c r="K13" s="272"/>
      <c r="L13" s="273">
        <f>K13*$E13</f>
        <v>0</v>
      </c>
      <c r="M13" s="272">
        <f>D13-$K13</f>
        <v>0</v>
      </c>
      <c r="N13" s="273">
        <f>M13*$E13</f>
        <v>0</v>
      </c>
      <c r="O13" s="274" t="e">
        <f>N13/F13</f>
        <v>#DIV/0!</v>
      </c>
    </row>
    <row r="14" spans="1:15" ht="15.6">
      <c r="A14" s="275"/>
      <c r="B14" s="163"/>
      <c r="C14" s="164"/>
      <c r="D14" s="276"/>
      <c r="E14" s="278"/>
      <c r="F14" s="278"/>
      <c r="G14" s="272"/>
      <c r="H14" s="273"/>
      <c r="I14" s="273"/>
      <c r="J14" s="273"/>
      <c r="K14" s="272"/>
      <c r="L14" s="273"/>
      <c r="M14" s="272"/>
      <c r="N14" s="273"/>
      <c r="O14" s="274"/>
    </row>
    <row r="15" spans="1:15" ht="39.9" customHeight="1">
      <c r="A15" s="275"/>
      <c r="B15" s="163"/>
      <c r="C15" s="164"/>
      <c r="D15" s="276"/>
      <c r="E15" s="278"/>
      <c r="F15" s="278">
        <f>D15*E15</f>
        <v>0</v>
      </c>
      <c r="G15" s="272"/>
      <c r="H15" s="273">
        <f>G15*$E15</f>
        <v>0</v>
      </c>
      <c r="I15" s="273">
        <f>K15-G15</f>
        <v>0</v>
      </c>
      <c r="J15" s="273">
        <f>I15*$E15</f>
        <v>0</v>
      </c>
      <c r="K15" s="272"/>
      <c r="L15" s="273">
        <f>K15*$E15</f>
        <v>0</v>
      </c>
      <c r="M15" s="272">
        <f>D15-$K15</f>
        <v>0</v>
      </c>
      <c r="N15" s="273">
        <f>M15*$E15</f>
        <v>0</v>
      </c>
      <c r="O15" s="274" t="e">
        <f>N15/F15</f>
        <v>#DIV/0!</v>
      </c>
    </row>
    <row r="16" spans="1:15" ht="39.9" customHeight="1">
      <c r="A16" s="275"/>
      <c r="B16" s="163"/>
      <c r="C16" s="164"/>
      <c r="D16" s="276"/>
      <c r="E16" s="278"/>
      <c r="F16" s="278"/>
      <c r="G16" s="272"/>
      <c r="H16" s="273"/>
      <c r="I16" s="273"/>
      <c r="J16" s="273"/>
      <c r="K16" s="272"/>
      <c r="L16" s="273"/>
      <c r="M16" s="272"/>
      <c r="N16" s="273"/>
      <c r="O16" s="274"/>
    </row>
    <row r="17" spans="1:16" ht="25.2" customHeight="1">
      <c r="A17" s="275"/>
      <c r="B17" s="163"/>
      <c r="C17" s="164"/>
      <c r="D17" s="276"/>
      <c r="E17" s="278"/>
      <c r="F17" s="278">
        <f>D17*E17</f>
        <v>0</v>
      </c>
      <c r="G17" s="272"/>
      <c r="H17" s="273">
        <f>G17*$E17</f>
        <v>0</v>
      </c>
      <c r="I17" s="273">
        <f>K17-G17</f>
        <v>0</v>
      </c>
      <c r="J17" s="273">
        <f>I17*$E17</f>
        <v>0</v>
      </c>
      <c r="K17" s="272"/>
      <c r="L17" s="273">
        <f>K17*$E17</f>
        <v>0</v>
      </c>
      <c r="M17" s="272">
        <f>D17-$K17</f>
        <v>0</v>
      </c>
      <c r="N17" s="273">
        <f>M17*$E17</f>
        <v>0</v>
      </c>
      <c r="O17" s="274" t="e">
        <f>N17/F17</f>
        <v>#DIV/0!</v>
      </c>
    </row>
    <row r="18" spans="1:16" ht="27" customHeight="1">
      <c r="A18" s="275"/>
      <c r="B18" s="163"/>
      <c r="C18" s="164"/>
      <c r="D18" s="276"/>
      <c r="E18" s="278"/>
      <c r="F18" s="278"/>
      <c r="G18" s="272"/>
      <c r="H18" s="273"/>
      <c r="I18" s="273"/>
      <c r="J18" s="273"/>
      <c r="K18" s="272"/>
      <c r="L18" s="273"/>
      <c r="M18" s="272"/>
      <c r="N18" s="273"/>
      <c r="O18" s="274"/>
    </row>
    <row r="19" spans="1:16" ht="34.950000000000003" customHeight="1">
      <c r="A19" s="172" t="s">
        <v>213</v>
      </c>
      <c r="B19" s="345" t="s">
        <v>180</v>
      </c>
      <c r="C19" s="345"/>
      <c r="D19" s="345"/>
      <c r="E19" s="349"/>
      <c r="F19" s="173">
        <f>SUM(F9:F18)</f>
        <v>0</v>
      </c>
      <c r="G19" s="180"/>
      <c r="H19" s="185">
        <f>SUM(H9:H18)</f>
        <v>0</v>
      </c>
      <c r="I19" s="186"/>
      <c r="J19" s="185">
        <f>SUM(J9:J18)</f>
        <v>0</v>
      </c>
      <c r="K19" s="180"/>
      <c r="L19" s="185">
        <f>SUM(L9:L18)</f>
        <v>0</v>
      </c>
      <c r="M19" s="180"/>
      <c r="N19" s="185">
        <f>SUM(N9:N18)</f>
        <v>0</v>
      </c>
      <c r="O19" s="187" t="e">
        <f>N19/F19</f>
        <v>#DIV/0!</v>
      </c>
    </row>
    <row r="20" spans="1:16" ht="30" customHeight="1">
      <c r="N20" s="188"/>
      <c r="O20" s="188"/>
      <c r="P20" s="188"/>
    </row>
  </sheetData>
  <mergeCells count="65">
    <mergeCell ref="I17:I18"/>
    <mergeCell ref="J17:J18"/>
    <mergeCell ref="K17:K18"/>
    <mergeCell ref="L17:L18"/>
    <mergeCell ref="L15:L16"/>
    <mergeCell ref="M15:M16"/>
    <mergeCell ref="N15:N16"/>
    <mergeCell ref="O15:O16"/>
    <mergeCell ref="A17:A18"/>
    <mergeCell ref="D17:D18"/>
    <mergeCell ref="E17:E18"/>
    <mergeCell ref="F17:F18"/>
    <mergeCell ref="G17:G18"/>
    <mergeCell ref="H17:H18"/>
    <mergeCell ref="O17:O18"/>
    <mergeCell ref="M17:M18"/>
    <mergeCell ref="N17:N18"/>
    <mergeCell ref="H15:H16"/>
    <mergeCell ref="I15:I16"/>
    <mergeCell ref="J15:J16"/>
    <mergeCell ref="K15:K16"/>
    <mergeCell ref="I13:I14"/>
    <mergeCell ref="J13:J14"/>
    <mergeCell ref="K13:K14"/>
    <mergeCell ref="A15:A16"/>
    <mergeCell ref="D15:D16"/>
    <mergeCell ref="E15:E16"/>
    <mergeCell ref="F15:F16"/>
    <mergeCell ref="G15:G16"/>
    <mergeCell ref="L11:L12"/>
    <mergeCell ref="M11:M12"/>
    <mergeCell ref="N11:N12"/>
    <mergeCell ref="O11:O12"/>
    <mergeCell ref="A13:A14"/>
    <mergeCell ref="D13:D14"/>
    <mergeCell ref="E13:E14"/>
    <mergeCell ref="F13:F14"/>
    <mergeCell ref="G13:G14"/>
    <mergeCell ref="H13:H14"/>
    <mergeCell ref="O13:O14"/>
    <mergeCell ref="L13:L14"/>
    <mergeCell ref="M13:M14"/>
    <mergeCell ref="N13:N14"/>
    <mergeCell ref="H11:H12"/>
    <mergeCell ref="I11:I12"/>
    <mergeCell ref="J11:J12"/>
    <mergeCell ref="K11:K12"/>
    <mergeCell ref="I9:I10"/>
    <mergeCell ref="J9:J10"/>
    <mergeCell ref="K9:K10"/>
    <mergeCell ref="A11:A12"/>
    <mergeCell ref="D11:D12"/>
    <mergeCell ref="E11:E12"/>
    <mergeCell ref="F11:F12"/>
    <mergeCell ref="G11:G12"/>
    <mergeCell ref="H9:H10"/>
    <mergeCell ref="A9:A10"/>
    <mergeCell ref="D9:D10"/>
    <mergeCell ref="E9:E10"/>
    <mergeCell ref="F9:F10"/>
    <mergeCell ref="G9:G10"/>
    <mergeCell ref="O9:O10"/>
    <mergeCell ref="L9:L10"/>
    <mergeCell ref="M9:M10"/>
    <mergeCell ref="N9:N10"/>
  </mergeCells>
  <printOptions horizontalCentered="1"/>
  <pageMargins left="0.39305555555555599" right="0.235416666666667" top="0.98402777777777795" bottom="0.47152777777777799" header="0.31388888888888899" footer="0.235416666666667"/>
  <pageSetup paperSize="9" scale="48" fitToHeight="0" orientation="landscape" r:id="rId1"/>
  <headerFooter scaleWithDoc="0" alignWithMargins="0">
    <oddHeader>&amp;C&amp;G</oddHeader>
  </headerFooter>
  <rowBreaks count="2" manualBreakCount="2">
    <brk id="19" max="16383" man="1"/>
    <brk id="19" max="16383" man="1"/>
  </rowBreaks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O27"/>
  <sheetViews>
    <sheetView view="pageBreakPreview" zoomScale="55" zoomScaleNormal="85" zoomScaleSheetLayoutView="55" workbookViewId="0">
      <pane ySplit="7" topLeftCell="A8" activePane="bottomLeft" state="frozen"/>
      <selection activeCell="D18" sqref="D18"/>
      <selection pane="bottomLeft" activeCell="D9" sqref="D9:D10"/>
    </sheetView>
  </sheetViews>
  <sheetFormatPr defaultColWidth="9.109375" defaultRowHeight="35.1" customHeight="1"/>
  <cols>
    <col min="1" max="1" width="15.6640625" style="1" customWidth="1"/>
    <col min="2" max="2" width="100.6640625" style="1" customWidth="1"/>
    <col min="3" max="3" width="15.6640625" style="1" customWidth="1"/>
    <col min="4" max="4" width="19.6640625" style="1" customWidth="1"/>
    <col min="5" max="5" width="15.6640625" style="1" customWidth="1"/>
    <col min="6" max="6" width="17.6640625" style="1" customWidth="1"/>
    <col min="7" max="7" width="15.77734375" style="1" customWidth="1"/>
    <col min="8" max="8" width="15.6640625" style="1" customWidth="1"/>
    <col min="9" max="9" width="12.6640625" style="1" customWidth="1"/>
    <col min="10" max="10" width="15.6640625" style="1" customWidth="1"/>
    <col min="11" max="11" width="17.21875" style="1" customWidth="1"/>
    <col min="12" max="12" width="15.6640625" style="1" customWidth="1"/>
    <col min="13" max="13" width="12.6640625" style="1" customWidth="1"/>
    <col min="14" max="14" width="15.6640625" style="1" customWidth="1"/>
    <col min="15" max="15" width="19.6640625" style="1" customWidth="1"/>
    <col min="16" max="16384" width="9.109375" style="1"/>
  </cols>
  <sheetData>
    <row r="1" spans="1:15" ht="33" customHeight="1">
      <c r="A1" s="179"/>
      <c r="B1" s="330" t="str">
        <f>'Bill Summary'!B1:O1</f>
        <v xml:space="preserve">Name of a project /  Название котракту             </v>
      </c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  <c r="N1" s="330"/>
      <c r="O1" s="330"/>
    </row>
    <row r="2" spans="1:15" ht="79.5" customHeight="1">
      <c r="A2" s="179"/>
      <c r="B2" s="324" t="str">
        <f>'Bill Summary'!B2:O2</f>
        <v>Contract identifier / 
Идентификатор контракта</v>
      </c>
      <c r="C2" s="324"/>
      <c r="D2" s="324"/>
      <c r="E2" s="324"/>
      <c r="F2" s="324"/>
      <c r="G2" s="324"/>
      <c r="H2" s="324"/>
      <c r="I2" s="324"/>
      <c r="J2" s="324"/>
      <c r="K2" s="324"/>
      <c r="L2" s="324"/>
      <c r="M2" s="324"/>
      <c r="N2" s="324"/>
      <c r="O2" s="324"/>
    </row>
    <row r="3" spans="1:15" ht="27.9" customHeight="1">
      <c r="A3" s="179"/>
      <c r="B3" s="324" t="str">
        <f>'Bill Summary'!B3:J3</f>
        <v>IPC #   / СПП № #</v>
      </c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</row>
    <row r="4" spans="1:15" ht="45" customHeight="1">
      <c r="A4" s="179"/>
      <c r="B4" s="35" t="str">
        <f>'Bill Summary'!B4:C4</f>
        <v>Start of Works/ Начало работ :  DD.MM.YYYY</v>
      </c>
      <c r="C4" s="35"/>
      <c r="D4" s="35"/>
      <c r="E4" s="35"/>
      <c r="F4" s="35"/>
      <c r="G4" s="33"/>
      <c r="H4" s="333" t="s">
        <v>48</v>
      </c>
      <c r="I4" s="333"/>
      <c r="J4" s="333"/>
      <c r="K4" s="333"/>
      <c r="L4" s="333"/>
      <c r="M4" s="333" t="str">
        <f>'Cover of IPC '!D7</f>
        <v>DD.MM.YYYY - DD.MM.YYYY</v>
      </c>
      <c r="N4" s="333"/>
      <c r="O4" s="333"/>
    </row>
    <row r="5" spans="1:15" ht="26.25" customHeight="1">
      <c r="A5" s="332" t="s">
        <v>214</v>
      </c>
      <c r="B5" s="332"/>
      <c r="C5" s="332"/>
      <c r="D5" s="332"/>
      <c r="E5" s="332"/>
      <c r="F5" s="332"/>
      <c r="G5" s="332"/>
      <c r="H5" s="332"/>
      <c r="I5" s="332"/>
      <c r="J5" s="332"/>
      <c r="K5" s="332"/>
      <c r="L5" s="332"/>
      <c r="M5" s="332"/>
      <c r="N5" s="332"/>
      <c r="O5" s="332"/>
    </row>
    <row r="6" spans="1:15" ht="69.75" customHeight="1">
      <c r="A6" s="334" t="s">
        <v>185</v>
      </c>
      <c r="B6" s="112" t="s">
        <v>140</v>
      </c>
      <c r="C6" s="112" t="s">
        <v>141</v>
      </c>
      <c r="D6" s="113" t="s">
        <v>142</v>
      </c>
      <c r="E6" s="114" t="s">
        <v>143</v>
      </c>
      <c r="F6" s="114" t="s">
        <v>144</v>
      </c>
      <c r="G6" s="348" t="s">
        <v>256</v>
      </c>
      <c r="H6" s="348"/>
      <c r="I6" s="347" t="s">
        <v>146</v>
      </c>
      <c r="J6" s="347"/>
      <c r="K6" s="347" t="s">
        <v>147</v>
      </c>
      <c r="L6" s="347"/>
      <c r="M6" s="348" t="s">
        <v>148</v>
      </c>
      <c r="N6" s="348"/>
      <c r="O6" s="115" t="s">
        <v>149</v>
      </c>
    </row>
    <row r="7" spans="1:15" ht="49.8" customHeight="1">
      <c r="A7" s="334"/>
      <c r="B7" s="113" t="s">
        <v>152</v>
      </c>
      <c r="C7" s="133" t="s">
        <v>153</v>
      </c>
      <c r="D7" s="133" t="s">
        <v>154</v>
      </c>
      <c r="E7" s="134" t="s">
        <v>155</v>
      </c>
      <c r="F7" s="134" t="s">
        <v>156</v>
      </c>
      <c r="G7" s="134" t="s">
        <v>158</v>
      </c>
      <c r="H7" s="134" t="s">
        <v>159</v>
      </c>
      <c r="I7" s="134" t="s">
        <v>158</v>
      </c>
      <c r="J7" s="134" t="s">
        <v>159</v>
      </c>
      <c r="K7" s="134" t="s">
        <v>158</v>
      </c>
      <c r="L7" s="134" t="s">
        <v>159</v>
      </c>
      <c r="M7" s="134" t="s">
        <v>158</v>
      </c>
      <c r="N7" s="134" t="s">
        <v>159</v>
      </c>
      <c r="O7" s="189" t="s">
        <v>63</v>
      </c>
    </row>
    <row r="8" spans="1:15" ht="25.2" customHeight="1">
      <c r="A8" s="160"/>
      <c r="B8" s="161"/>
      <c r="C8" s="161"/>
      <c r="D8" s="161" t="s">
        <v>160</v>
      </c>
      <c r="E8" s="161" t="s">
        <v>160</v>
      </c>
      <c r="F8" s="184" t="s">
        <v>161</v>
      </c>
      <c r="G8" s="161" t="s">
        <v>160</v>
      </c>
      <c r="H8" s="161" t="s">
        <v>212</v>
      </c>
      <c r="I8" s="161" t="s">
        <v>187</v>
      </c>
      <c r="J8" s="161" t="s">
        <v>204</v>
      </c>
      <c r="K8" s="161" t="s">
        <v>160</v>
      </c>
      <c r="L8" s="161" t="s">
        <v>205</v>
      </c>
      <c r="M8" s="161" t="s">
        <v>215</v>
      </c>
      <c r="N8" s="161" t="s">
        <v>207</v>
      </c>
      <c r="O8" s="161" t="s">
        <v>208</v>
      </c>
    </row>
    <row r="9" spans="1:15" ht="26.1" customHeight="1">
      <c r="A9" s="275"/>
      <c r="B9" s="163"/>
      <c r="C9" s="164"/>
      <c r="D9" s="276"/>
      <c r="E9" s="278"/>
      <c r="F9" s="278">
        <f>D9*E9</f>
        <v>0</v>
      </c>
      <c r="G9" s="272"/>
      <c r="H9" s="273">
        <f>G9*$E9</f>
        <v>0</v>
      </c>
      <c r="I9" s="272">
        <f>K9-G9</f>
        <v>0</v>
      </c>
      <c r="J9" s="273">
        <f>I9*$E9</f>
        <v>0</v>
      </c>
      <c r="K9" s="272"/>
      <c r="L9" s="273">
        <f>K9*$E9</f>
        <v>0</v>
      </c>
      <c r="M9" s="272">
        <f>D9-$K9</f>
        <v>0</v>
      </c>
      <c r="N9" s="273">
        <f>M9*$E9</f>
        <v>0</v>
      </c>
      <c r="O9" s="274" t="e">
        <f>N9/F9</f>
        <v>#DIV/0!</v>
      </c>
    </row>
    <row r="10" spans="1:15" ht="26.1" customHeight="1">
      <c r="A10" s="275"/>
      <c r="B10" s="163"/>
      <c r="C10" s="164"/>
      <c r="D10" s="276"/>
      <c r="E10" s="278"/>
      <c r="F10" s="278"/>
      <c r="G10" s="272"/>
      <c r="H10" s="273"/>
      <c r="I10" s="272"/>
      <c r="J10" s="273"/>
      <c r="K10" s="272"/>
      <c r="L10" s="273"/>
      <c r="M10" s="272"/>
      <c r="N10" s="273"/>
      <c r="O10" s="274"/>
    </row>
    <row r="11" spans="1:15" ht="45.9" customHeight="1">
      <c r="A11" s="275"/>
      <c r="B11" s="163"/>
      <c r="C11" s="164"/>
      <c r="D11" s="276"/>
      <c r="E11" s="278"/>
      <c r="F11" s="278">
        <f>D11*E11</f>
        <v>0</v>
      </c>
      <c r="G11" s="272"/>
      <c r="H11" s="273">
        <f>G11*$E11</f>
        <v>0</v>
      </c>
      <c r="I11" s="272">
        <f>K11-G11</f>
        <v>0</v>
      </c>
      <c r="J11" s="273">
        <f>I11*$E11</f>
        <v>0</v>
      </c>
      <c r="K11" s="272"/>
      <c r="L11" s="273">
        <f>K11*$E11</f>
        <v>0</v>
      </c>
      <c r="M11" s="272">
        <f>D11-$K11</f>
        <v>0</v>
      </c>
      <c r="N11" s="273">
        <f>M11*$E11</f>
        <v>0</v>
      </c>
      <c r="O11" s="274" t="e">
        <f>N11/F11</f>
        <v>#DIV/0!</v>
      </c>
    </row>
    <row r="12" spans="1:15" ht="45.9" customHeight="1">
      <c r="A12" s="275"/>
      <c r="B12" s="163"/>
      <c r="C12" s="164"/>
      <c r="D12" s="276"/>
      <c r="E12" s="278"/>
      <c r="F12" s="278"/>
      <c r="G12" s="272"/>
      <c r="H12" s="273"/>
      <c r="I12" s="272"/>
      <c r="J12" s="273"/>
      <c r="K12" s="272"/>
      <c r="L12" s="273"/>
      <c r="M12" s="272"/>
      <c r="N12" s="273"/>
      <c r="O12" s="274"/>
    </row>
    <row r="13" spans="1:15" ht="26.1" customHeight="1">
      <c r="A13" s="275"/>
      <c r="B13" s="163"/>
      <c r="C13" s="164"/>
      <c r="D13" s="276"/>
      <c r="E13" s="278"/>
      <c r="F13" s="278">
        <f>D13*E13</f>
        <v>0</v>
      </c>
      <c r="G13" s="272"/>
      <c r="H13" s="273">
        <f>G13*$E13</f>
        <v>0</v>
      </c>
      <c r="I13" s="272">
        <f>K13-G13</f>
        <v>0</v>
      </c>
      <c r="J13" s="273">
        <f>I13*$E13</f>
        <v>0</v>
      </c>
      <c r="K13" s="272"/>
      <c r="L13" s="273">
        <f>K13*$E13</f>
        <v>0</v>
      </c>
      <c r="M13" s="272">
        <f>D13-$K13</f>
        <v>0</v>
      </c>
      <c r="N13" s="273">
        <f>M13*$E13</f>
        <v>0</v>
      </c>
      <c r="O13" s="274" t="e">
        <f>N13/F13</f>
        <v>#DIV/0!</v>
      </c>
    </row>
    <row r="14" spans="1:15" ht="26.1" customHeight="1">
      <c r="A14" s="275"/>
      <c r="B14" s="163"/>
      <c r="C14" s="164"/>
      <c r="D14" s="276"/>
      <c r="E14" s="278"/>
      <c r="F14" s="278"/>
      <c r="G14" s="272"/>
      <c r="H14" s="273"/>
      <c r="I14" s="272"/>
      <c r="J14" s="273"/>
      <c r="K14" s="272"/>
      <c r="L14" s="273"/>
      <c r="M14" s="272"/>
      <c r="N14" s="273"/>
      <c r="O14" s="274"/>
    </row>
    <row r="15" spans="1:15" ht="26.1" customHeight="1">
      <c r="A15" s="275"/>
      <c r="B15" s="163"/>
      <c r="C15" s="164"/>
      <c r="D15" s="276"/>
      <c r="E15" s="278"/>
      <c r="F15" s="278">
        <f>D15*E15</f>
        <v>0</v>
      </c>
      <c r="G15" s="272"/>
      <c r="H15" s="273">
        <f>G15*$E15</f>
        <v>0</v>
      </c>
      <c r="I15" s="272">
        <f>K15-G15</f>
        <v>0</v>
      </c>
      <c r="J15" s="273">
        <f>I15*$E15</f>
        <v>0</v>
      </c>
      <c r="K15" s="272"/>
      <c r="L15" s="273">
        <f>K15*$E15</f>
        <v>0</v>
      </c>
      <c r="M15" s="272">
        <f>D15-$K15</f>
        <v>0</v>
      </c>
      <c r="N15" s="273">
        <f>M15*$E15</f>
        <v>0</v>
      </c>
      <c r="O15" s="274" t="e">
        <f>N15/F15</f>
        <v>#DIV/0!</v>
      </c>
    </row>
    <row r="16" spans="1:15" ht="26.1" customHeight="1">
      <c r="A16" s="275"/>
      <c r="B16" s="163"/>
      <c r="C16" s="164"/>
      <c r="D16" s="276"/>
      <c r="E16" s="278"/>
      <c r="F16" s="278"/>
      <c r="G16" s="272"/>
      <c r="H16" s="273"/>
      <c r="I16" s="272"/>
      <c r="J16" s="273"/>
      <c r="K16" s="272"/>
      <c r="L16" s="273"/>
      <c r="M16" s="272"/>
      <c r="N16" s="273"/>
      <c r="O16" s="274"/>
    </row>
    <row r="17" spans="1:15" ht="26.1" customHeight="1">
      <c r="A17" s="275"/>
      <c r="B17" s="163"/>
      <c r="C17" s="164"/>
      <c r="D17" s="276"/>
      <c r="E17" s="278"/>
      <c r="F17" s="278">
        <f>D17*E17</f>
        <v>0</v>
      </c>
      <c r="G17" s="272"/>
      <c r="H17" s="273">
        <f>G17*$E17</f>
        <v>0</v>
      </c>
      <c r="I17" s="272">
        <f>K17-G17</f>
        <v>0</v>
      </c>
      <c r="J17" s="273">
        <f>I17*$E17</f>
        <v>0</v>
      </c>
      <c r="K17" s="272"/>
      <c r="L17" s="273">
        <f>K17*$E17</f>
        <v>0</v>
      </c>
      <c r="M17" s="272">
        <f>D17-$K17</f>
        <v>0</v>
      </c>
      <c r="N17" s="273">
        <f>M17*$E17</f>
        <v>0</v>
      </c>
      <c r="O17" s="274" t="e">
        <f>N17/F17</f>
        <v>#DIV/0!</v>
      </c>
    </row>
    <row r="18" spans="1:15" ht="26.1" customHeight="1">
      <c r="A18" s="275"/>
      <c r="B18" s="163"/>
      <c r="C18" s="164"/>
      <c r="D18" s="276"/>
      <c r="E18" s="278"/>
      <c r="F18" s="278"/>
      <c r="G18" s="272"/>
      <c r="H18" s="273"/>
      <c r="I18" s="272"/>
      <c r="J18" s="273"/>
      <c r="K18" s="272"/>
      <c r="L18" s="273"/>
      <c r="M18" s="272"/>
      <c r="N18" s="273"/>
      <c r="O18" s="274"/>
    </row>
    <row r="19" spans="1:15" ht="26.1" customHeight="1">
      <c r="A19" s="275"/>
      <c r="B19" s="163"/>
      <c r="C19" s="164"/>
      <c r="D19" s="276"/>
      <c r="E19" s="278"/>
      <c r="F19" s="278">
        <f>D19*E19</f>
        <v>0</v>
      </c>
      <c r="G19" s="272"/>
      <c r="H19" s="273">
        <f>G19*$E19</f>
        <v>0</v>
      </c>
      <c r="I19" s="272">
        <f>K19-G19</f>
        <v>0</v>
      </c>
      <c r="J19" s="273">
        <f>I19*$E19</f>
        <v>0</v>
      </c>
      <c r="K19" s="272"/>
      <c r="L19" s="273">
        <f>K19*$E19</f>
        <v>0</v>
      </c>
      <c r="M19" s="272">
        <f>D19-$K19</f>
        <v>0</v>
      </c>
      <c r="N19" s="273">
        <f>M19*$E19</f>
        <v>0</v>
      </c>
      <c r="O19" s="274" t="e">
        <f>N19/F19</f>
        <v>#DIV/0!</v>
      </c>
    </row>
    <row r="20" spans="1:15" ht="26.1" customHeight="1">
      <c r="A20" s="275"/>
      <c r="B20" s="163"/>
      <c r="C20" s="164"/>
      <c r="D20" s="276"/>
      <c r="E20" s="278"/>
      <c r="F20" s="278"/>
      <c r="G20" s="272"/>
      <c r="H20" s="273"/>
      <c r="I20" s="272"/>
      <c r="J20" s="273"/>
      <c r="K20" s="272"/>
      <c r="L20" s="273"/>
      <c r="M20" s="272"/>
      <c r="N20" s="273"/>
      <c r="O20" s="274"/>
    </row>
    <row r="21" spans="1:15" ht="26.1" customHeight="1">
      <c r="A21" s="275"/>
      <c r="B21" s="163"/>
      <c r="C21" s="164"/>
      <c r="D21" s="276"/>
      <c r="E21" s="278"/>
      <c r="F21" s="278">
        <f>D21*E21</f>
        <v>0</v>
      </c>
      <c r="G21" s="272"/>
      <c r="H21" s="273">
        <f>G21*$E21</f>
        <v>0</v>
      </c>
      <c r="I21" s="272">
        <f>K21-G21</f>
        <v>0</v>
      </c>
      <c r="J21" s="273">
        <f>I21*$E21</f>
        <v>0</v>
      </c>
      <c r="K21" s="272"/>
      <c r="L21" s="273">
        <f>K21*$E21</f>
        <v>0</v>
      </c>
      <c r="M21" s="272">
        <f>D21-$K21</f>
        <v>0</v>
      </c>
      <c r="N21" s="273">
        <f>M21*$E21</f>
        <v>0</v>
      </c>
      <c r="O21" s="274" t="e">
        <f>N21/F21</f>
        <v>#DIV/0!</v>
      </c>
    </row>
    <row r="22" spans="1:15" ht="26.1" customHeight="1">
      <c r="A22" s="275"/>
      <c r="B22" s="163"/>
      <c r="C22" s="164"/>
      <c r="D22" s="276"/>
      <c r="E22" s="278"/>
      <c r="F22" s="278"/>
      <c r="G22" s="272"/>
      <c r="H22" s="273"/>
      <c r="I22" s="272"/>
      <c r="J22" s="273"/>
      <c r="K22" s="272"/>
      <c r="L22" s="273"/>
      <c r="M22" s="272"/>
      <c r="N22" s="273"/>
      <c r="O22" s="274"/>
    </row>
    <row r="23" spans="1:15" ht="26.1" customHeight="1">
      <c r="A23" s="275"/>
      <c r="B23" s="163"/>
      <c r="C23" s="164"/>
      <c r="D23" s="276"/>
      <c r="E23" s="278"/>
      <c r="F23" s="278">
        <f>D23*E23</f>
        <v>0</v>
      </c>
      <c r="G23" s="272"/>
      <c r="H23" s="273">
        <f>G23*$E23</f>
        <v>0</v>
      </c>
      <c r="I23" s="272">
        <f>K23-G23</f>
        <v>0</v>
      </c>
      <c r="J23" s="273">
        <f>I23*$E23</f>
        <v>0</v>
      </c>
      <c r="K23" s="272"/>
      <c r="L23" s="273">
        <f>K23*$E23</f>
        <v>0</v>
      </c>
      <c r="M23" s="272">
        <f>D23-$K23</f>
        <v>0</v>
      </c>
      <c r="N23" s="273">
        <f>M23*$E23</f>
        <v>0</v>
      </c>
      <c r="O23" s="274" t="e">
        <f>N23/F23</f>
        <v>#DIV/0!</v>
      </c>
    </row>
    <row r="24" spans="1:15" ht="26.1" customHeight="1">
      <c r="A24" s="275"/>
      <c r="B24" s="163"/>
      <c r="C24" s="164"/>
      <c r="D24" s="276"/>
      <c r="E24" s="278"/>
      <c r="F24" s="278"/>
      <c r="G24" s="272"/>
      <c r="H24" s="273"/>
      <c r="I24" s="272"/>
      <c r="J24" s="273"/>
      <c r="K24" s="272"/>
      <c r="L24" s="273"/>
      <c r="M24" s="272"/>
      <c r="N24" s="273"/>
      <c r="O24" s="274"/>
    </row>
    <row r="25" spans="1:15" ht="26.1" customHeight="1">
      <c r="A25" s="275"/>
      <c r="B25" s="163"/>
      <c r="C25" s="164"/>
      <c r="D25" s="276"/>
      <c r="E25" s="278"/>
      <c r="F25" s="278">
        <f>D25*E25</f>
        <v>0</v>
      </c>
      <c r="G25" s="272"/>
      <c r="H25" s="273">
        <f>G25*$E25</f>
        <v>0</v>
      </c>
      <c r="I25" s="272">
        <f>K25-G25</f>
        <v>0</v>
      </c>
      <c r="J25" s="273">
        <f>I25*$E25</f>
        <v>0</v>
      </c>
      <c r="K25" s="272"/>
      <c r="L25" s="273">
        <f>K25*$E25</f>
        <v>0</v>
      </c>
      <c r="M25" s="272">
        <f>D25-$K25</f>
        <v>0</v>
      </c>
      <c r="N25" s="273">
        <f>M25*$E25</f>
        <v>0</v>
      </c>
      <c r="O25" s="274" t="e">
        <f>N25/F25</f>
        <v>#DIV/0!</v>
      </c>
    </row>
    <row r="26" spans="1:15" ht="26.1" customHeight="1">
      <c r="A26" s="275"/>
      <c r="B26" s="163"/>
      <c r="C26" s="164"/>
      <c r="D26" s="276"/>
      <c r="E26" s="278"/>
      <c r="F26" s="278"/>
      <c r="G26" s="272"/>
      <c r="H26" s="273"/>
      <c r="I26" s="272"/>
      <c r="J26" s="273"/>
      <c r="K26" s="272"/>
      <c r="L26" s="273"/>
      <c r="M26" s="272"/>
      <c r="N26" s="273"/>
      <c r="O26" s="274"/>
    </row>
    <row r="27" spans="1:15" ht="34.950000000000003" customHeight="1">
      <c r="A27" s="172" t="s">
        <v>216</v>
      </c>
      <c r="B27" s="267" t="s">
        <v>180</v>
      </c>
      <c r="C27" s="267"/>
      <c r="D27" s="267"/>
      <c r="E27" s="279"/>
      <c r="F27" s="173">
        <f>SUM(F9:F26)</f>
        <v>0</v>
      </c>
      <c r="G27" s="190"/>
      <c r="H27" s="185">
        <f>SUM(H9:H26)</f>
        <v>0</v>
      </c>
      <c r="I27" s="190"/>
      <c r="J27" s="185">
        <f>SUM(J9:J26)</f>
        <v>0</v>
      </c>
      <c r="K27" s="190"/>
      <c r="L27" s="185">
        <f>SUM(L9:L26)</f>
        <v>0</v>
      </c>
      <c r="M27" s="190"/>
      <c r="N27" s="185">
        <f>SUM(N9:N26)</f>
        <v>0</v>
      </c>
      <c r="O27" s="175" t="e">
        <f>N27/F27</f>
        <v>#DIV/0!</v>
      </c>
    </row>
  </sheetData>
  <mergeCells count="118">
    <mergeCell ref="B27:E27"/>
    <mergeCell ref="I25:I26"/>
    <mergeCell ref="J25:J26"/>
    <mergeCell ref="K25:K26"/>
    <mergeCell ref="L25:L26"/>
    <mergeCell ref="M25:M26"/>
    <mergeCell ref="N25:N26"/>
    <mergeCell ref="L23:L24"/>
    <mergeCell ref="M23:M24"/>
    <mergeCell ref="N23:N24"/>
    <mergeCell ref="A25:A26"/>
    <mergeCell ref="D25:D26"/>
    <mergeCell ref="E25:E26"/>
    <mergeCell ref="F25:F26"/>
    <mergeCell ref="G25:G26"/>
    <mergeCell ref="H25:H26"/>
    <mergeCell ref="O21:O22"/>
    <mergeCell ref="A23:A24"/>
    <mergeCell ref="D23:D24"/>
    <mergeCell ref="E23:E24"/>
    <mergeCell ref="F23:F24"/>
    <mergeCell ref="G23:G24"/>
    <mergeCell ref="H23:H24"/>
    <mergeCell ref="I23:I24"/>
    <mergeCell ref="J23:J24"/>
    <mergeCell ref="K23:K24"/>
    <mergeCell ref="I21:I22"/>
    <mergeCell ref="J21:J22"/>
    <mergeCell ref="K21:K22"/>
    <mergeCell ref="L21:L22"/>
    <mergeCell ref="M21:M22"/>
    <mergeCell ref="N21:N22"/>
    <mergeCell ref="O25:O26"/>
    <mergeCell ref="O23:O24"/>
    <mergeCell ref="L19:L20"/>
    <mergeCell ref="M19:M20"/>
    <mergeCell ref="N19:N20"/>
    <mergeCell ref="O19:O20"/>
    <mergeCell ref="A21:A22"/>
    <mergeCell ref="D21:D22"/>
    <mergeCell ref="E21:E22"/>
    <mergeCell ref="F21:F22"/>
    <mergeCell ref="G21:G22"/>
    <mergeCell ref="H21:H22"/>
    <mergeCell ref="A19:A20"/>
    <mergeCell ref="D19:D20"/>
    <mergeCell ref="E19:E20"/>
    <mergeCell ref="F19:F20"/>
    <mergeCell ref="G19:G20"/>
    <mergeCell ref="H19:H20"/>
    <mergeCell ref="I19:I20"/>
    <mergeCell ref="J19:J20"/>
    <mergeCell ref="K19:K20"/>
    <mergeCell ref="L15:L16"/>
    <mergeCell ref="M15:M16"/>
    <mergeCell ref="N15:N16"/>
    <mergeCell ref="O15:O16"/>
    <mergeCell ref="A17:A18"/>
    <mergeCell ref="D17:D18"/>
    <mergeCell ref="E17:E18"/>
    <mergeCell ref="F17:F18"/>
    <mergeCell ref="G17:G18"/>
    <mergeCell ref="H17:H18"/>
    <mergeCell ref="O17:O18"/>
    <mergeCell ref="I17:I18"/>
    <mergeCell ref="J17:J18"/>
    <mergeCell ref="K17:K18"/>
    <mergeCell ref="L17:L18"/>
    <mergeCell ref="M17:M18"/>
    <mergeCell ref="N17:N18"/>
    <mergeCell ref="A15:A16"/>
    <mergeCell ref="D15:D16"/>
    <mergeCell ref="E15:E16"/>
    <mergeCell ref="F15:F16"/>
    <mergeCell ref="G15:G16"/>
    <mergeCell ref="H15:H16"/>
    <mergeCell ref="I15:I16"/>
    <mergeCell ref="J15:J16"/>
    <mergeCell ref="K15:K16"/>
    <mergeCell ref="N11:N12"/>
    <mergeCell ref="O11:O12"/>
    <mergeCell ref="A13:A14"/>
    <mergeCell ref="D13:D14"/>
    <mergeCell ref="E13:E14"/>
    <mergeCell ref="F13:F14"/>
    <mergeCell ref="G13:G14"/>
    <mergeCell ref="H13:H14"/>
    <mergeCell ref="O13:O14"/>
    <mergeCell ref="I13:I14"/>
    <mergeCell ref="J13:J14"/>
    <mergeCell ref="K13:K14"/>
    <mergeCell ref="L13:L14"/>
    <mergeCell ref="M13:M14"/>
    <mergeCell ref="N13:N14"/>
    <mergeCell ref="O9:O10"/>
    <mergeCell ref="A11:A12"/>
    <mergeCell ref="D11:D12"/>
    <mergeCell ref="E11:E12"/>
    <mergeCell ref="F11:F12"/>
    <mergeCell ref="G11:G12"/>
    <mergeCell ref="H11:H12"/>
    <mergeCell ref="I11:I12"/>
    <mergeCell ref="J11:J12"/>
    <mergeCell ref="K11:K12"/>
    <mergeCell ref="I9:I10"/>
    <mergeCell ref="J9:J10"/>
    <mergeCell ref="K9:K10"/>
    <mergeCell ref="L9:L10"/>
    <mergeCell ref="M9:M10"/>
    <mergeCell ref="N9:N10"/>
    <mergeCell ref="A9:A10"/>
    <mergeCell ref="D9:D10"/>
    <mergeCell ref="E9:E10"/>
    <mergeCell ref="F9:F10"/>
    <mergeCell ref="G9:G10"/>
    <mergeCell ref="H9:H10"/>
    <mergeCell ref="L11:L12"/>
    <mergeCell ref="M11:M12"/>
  </mergeCells>
  <printOptions horizontalCentered="1"/>
  <pageMargins left="0.47152777777777799" right="0.15625" top="1.02291666666667" bottom="0.62916666666666698" header="0.31388888888888899" footer="0.31388888888888899"/>
  <pageSetup paperSize="9" scale="45" fitToHeight="0" orientation="landscape" r:id="rId1"/>
  <headerFooter scaleWithDoc="0" alignWithMargins="0">
    <oddHeader>&amp;C&amp;G</oddHead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-0.249977111117893"/>
    <pageSetUpPr fitToPage="1"/>
  </sheetPr>
  <dimension ref="A1:AE43"/>
  <sheetViews>
    <sheetView zoomScale="55" zoomScaleNormal="55" workbookViewId="0">
      <pane xSplit="1" ySplit="10" topLeftCell="B11" activePane="bottomRight" state="frozen"/>
      <selection activeCell="D18" sqref="D18"/>
      <selection pane="topRight" activeCell="D18" sqref="D18"/>
      <selection pane="bottomLeft" activeCell="D18" sqref="D18"/>
      <selection pane="bottomRight" activeCell="D18" sqref="D18"/>
    </sheetView>
  </sheetViews>
  <sheetFormatPr defaultColWidth="9.109375" defaultRowHeight="35.1" customHeight="1"/>
  <cols>
    <col min="1" max="1" width="15.6640625" style="1" customWidth="1"/>
    <col min="2" max="2" width="100.6640625" style="1" customWidth="1"/>
    <col min="3" max="3" width="13.5546875" style="1" customWidth="1"/>
    <col min="4" max="4" width="11.5546875" style="1" customWidth="1"/>
    <col min="5" max="5" width="14.6640625" style="1" customWidth="1"/>
    <col min="6" max="6" width="17" style="1" customWidth="1"/>
    <col min="7" max="7" width="19.21875" style="1" customWidth="1"/>
    <col min="8" max="8" width="17.6640625" style="1" customWidth="1"/>
    <col min="9" max="9" width="14.88671875" style="1" customWidth="1"/>
    <col min="10" max="11" width="17.109375" style="1" customWidth="1"/>
    <col min="12" max="13" width="16.88671875" style="1" customWidth="1"/>
    <col min="14" max="14" width="15.44140625" style="1" customWidth="1"/>
    <col min="15" max="15" width="15.88671875" style="1" customWidth="1"/>
    <col min="16" max="16" width="18.44140625" style="1" customWidth="1"/>
    <col min="17" max="17" width="15.33203125" style="1" customWidth="1"/>
    <col min="18" max="18" width="17.5546875" style="1" customWidth="1"/>
    <col min="19" max="19" width="14.5546875" style="1" customWidth="1"/>
    <col min="20" max="21" width="18.44140625" style="1" customWidth="1"/>
    <col min="22" max="22" width="16.109375" style="1" customWidth="1"/>
    <col min="23" max="24" width="16" style="1" customWidth="1"/>
    <col min="25" max="25" width="23.44140625" style="1" customWidth="1"/>
    <col min="26" max="26" width="16" style="1" customWidth="1"/>
    <col min="27" max="27" width="16.44140625" style="1" customWidth="1"/>
    <col min="28" max="28" width="24.5546875" style="1" customWidth="1"/>
    <col min="29" max="29" width="25.109375" style="1" customWidth="1"/>
    <col min="30" max="30" width="17.6640625" style="1" customWidth="1"/>
    <col min="31" max="31" width="24.5546875" style="1" customWidth="1"/>
    <col min="32" max="16384" width="9.109375" style="1"/>
  </cols>
  <sheetData>
    <row r="1" spans="1:31" ht="33" customHeight="1">
      <c r="A1" s="179"/>
      <c r="B1" s="213" t="str">
        <f>'Bill Summary'!B1:O1</f>
        <v xml:space="preserve">Name of a project /  Название котракту             </v>
      </c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191"/>
      <c r="AC1" s="191"/>
      <c r="AD1" s="191"/>
      <c r="AE1" s="191"/>
    </row>
    <row r="2" spans="1:31" ht="50.1" customHeight="1">
      <c r="A2" s="179"/>
      <c r="B2" s="213" t="str">
        <f>'Bill Summary'!B2:O2</f>
        <v>Contract identifier / 
Идентификатор контракта</v>
      </c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191"/>
      <c r="AC2" s="191"/>
      <c r="AD2" s="191"/>
      <c r="AE2" s="191"/>
    </row>
    <row r="3" spans="1:31" ht="27.9" customHeight="1">
      <c r="A3" s="179"/>
      <c r="B3" s="213" t="str">
        <f>'Bill Summary'!B3:J3</f>
        <v>IPC #   / СПП № #</v>
      </c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191"/>
      <c r="AC3" s="191"/>
      <c r="AD3" s="191"/>
      <c r="AE3" s="191"/>
    </row>
    <row r="4" spans="1:31" ht="27.9" customHeight="1">
      <c r="A4" s="179"/>
      <c r="B4" s="227" t="str">
        <f>'Bill Summary'!B4:C4</f>
        <v>Start of Works/ Начало работ :  DD.MM.YYYY</v>
      </c>
      <c r="C4" s="227"/>
      <c r="D4" s="212"/>
      <c r="E4" s="212"/>
      <c r="F4" s="212"/>
      <c r="G4" s="212"/>
      <c r="H4" s="212"/>
      <c r="I4" s="33"/>
      <c r="J4" s="33"/>
      <c r="K4" s="33"/>
      <c r="L4" s="192"/>
      <c r="M4" s="108"/>
      <c r="N4" s="109"/>
      <c r="O4" s="110"/>
      <c r="P4" s="110"/>
      <c r="Q4" s="109"/>
      <c r="R4" s="110"/>
      <c r="S4" s="109"/>
      <c r="T4" s="228" t="s">
        <v>48</v>
      </c>
      <c r="U4" s="228"/>
      <c r="V4" s="228"/>
      <c r="W4" s="228"/>
      <c r="X4" s="228"/>
      <c r="Y4" s="229" t="str">
        <f>'Cover of IPC '!D7</f>
        <v>DD.MM.YYYY - DD.MM.YYYY</v>
      </c>
      <c r="Z4" s="229"/>
      <c r="AA4" s="228"/>
      <c r="AB4" s="191"/>
      <c r="AC4" s="191"/>
      <c r="AD4" s="191"/>
      <c r="AE4" s="191"/>
    </row>
    <row r="5" spans="1:31" ht="28.2" customHeight="1">
      <c r="A5" s="230" t="s">
        <v>217</v>
      </c>
      <c r="B5" s="230"/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  <c r="Q5" s="230"/>
      <c r="R5" s="230"/>
      <c r="S5" s="230"/>
      <c r="T5" s="230"/>
      <c r="U5" s="230"/>
      <c r="V5" s="230"/>
      <c r="W5" s="230"/>
      <c r="X5" s="230"/>
      <c r="Y5" s="230"/>
      <c r="Z5" s="230"/>
      <c r="AA5" s="230"/>
      <c r="AB5" s="193"/>
      <c r="AC5" s="193"/>
      <c r="AD5" s="193"/>
      <c r="AE5" s="193"/>
    </row>
    <row r="6" spans="1:31" ht="60.75" customHeight="1">
      <c r="A6" s="231" t="s">
        <v>139</v>
      </c>
      <c r="B6" s="112" t="s">
        <v>140</v>
      </c>
      <c r="C6" s="112" t="s">
        <v>141</v>
      </c>
      <c r="D6" s="113" t="s">
        <v>142</v>
      </c>
      <c r="E6" s="114" t="s">
        <v>143</v>
      </c>
      <c r="F6" s="114" t="s">
        <v>144</v>
      </c>
      <c r="G6" s="232" t="s">
        <v>145</v>
      </c>
      <c r="H6" s="232"/>
      <c r="I6" s="232"/>
      <c r="J6" s="232"/>
      <c r="K6" s="232"/>
      <c r="L6" s="232" t="s">
        <v>146</v>
      </c>
      <c r="M6" s="232"/>
      <c r="N6" s="232"/>
      <c r="O6" s="232"/>
      <c r="P6" s="232"/>
      <c r="Q6" s="232" t="s">
        <v>147</v>
      </c>
      <c r="R6" s="232"/>
      <c r="S6" s="232"/>
      <c r="T6" s="232"/>
      <c r="U6" s="232"/>
      <c r="V6" s="232" t="s">
        <v>148</v>
      </c>
      <c r="W6" s="232"/>
      <c r="X6" s="232"/>
      <c r="Y6" s="232"/>
      <c r="Z6" s="232"/>
      <c r="AA6" s="232" t="s">
        <v>149</v>
      </c>
      <c r="AB6" s="241" t="s">
        <v>218</v>
      </c>
      <c r="AC6" s="241"/>
      <c r="AD6" s="241" t="s">
        <v>219</v>
      </c>
      <c r="AE6" s="241"/>
    </row>
    <row r="7" spans="1:31" ht="106.2" customHeight="1">
      <c r="A7" s="231"/>
      <c r="B7" s="242" t="s">
        <v>152</v>
      </c>
      <c r="C7" s="243" t="s">
        <v>153</v>
      </c>
      <c r="D7" s="243" t="s">
        <v>154</v>
      </c>
      <c r="E7" s="244" t="s">
        <v>155</v>
      </c>
      <c r="F7" s="244" t="s">
        <v>156</v>
      </c>
      <c r="G7" s="232" t="s">
        <v>220</v>
      </c>
      <c r="H7" s="232"/>
      <c r="I7" s="232" t="s">
        <v>219</v>
      </c>
      <c r="J7" s="232"/>
      <c r="K7" s="115" t="s">
        <v>157</v>
      </c>
      <c r="L7" s="232" t="s">
        <v>220</v>
      </c>
      <c r="M7" s="232"/>
      <c r="N7" s="232" t="s">
        <v>219</v>
      </c>
      <c r="O7" s="232"/>
      <c r="P7" s="115" t="s">
        <v>157</v>
      </c>
      <c r="Q7" s="232" t="s">
        <v>220</v>
      </c>
      <c r="R7" s="232"/>
      <c r="S7" s="232" t="s">
        <v>219</v>
      </c>
      <c r="T7" s="232"/>
      <c r="U7" s="115" t="s">
        <v>157</v>
      </c>
      <c r="V7" s="232" t="s">
        <v>220</v>
      </c>
      <c r="W7" s="232"/>
      <c r="X7" s="232" t="s">
        <v>219</v>
      </c>
      <c r="Y7" s="232"/>
      <c r="Z7" s="115" t="s">
        <v>157</v>
      </c>
      <c r="AA7" s="232"/>
      <c r="AB7" s="241"/>
      <c r="AC7" s="241"/>
      <c r="AD7" s="241"/>
      <c r="AE7" s="241"/>
    </row>
    <row r="8" spans="1:31" ht="81.75" customHeight="1">
      <c r="A8" s="280"/>
      <c r="B8" s="242"/>
      <c r="C8" s="243"/>
      <c r="D8" s="243"/>
      <c r="E8" s="244"/>
      <c r="F8" s="244"/>
      <c r="G8" s="115" t="s">
        <v>158</v>
      </c>
      <c r="H8" s="115" t="s">
        <v>159</v>
      </c>
      <c r="I8" s="115" t="s">
        <v>158</v>
      </c>
      <c r="J8" s="115" t="s">
        <v>159</v>
      </c>
      <c r="K8" s="115" t="s">
        <v>159</v>
      </c>
      <c r="L8" s="115" t="s">
        <v>158</v>
      </c>
      <c r="M8" s="115" t="s">
        <v>159</v>
      </c>
      <c r="N8" s="115" t="s">
        <v>158</v>
      </c>
      <c r="O8" s="115" t="s">
        <v>159</v>
      </c>
      <c r="P8" s="115" t="s">
        <v>159</v>
      </c>
      <c r="Q8" s="115" t="s">
        <v>158</v>
      </c>
      <c r="R8" s="115" t="s">
        <v>159</v>
      </c>
      <c r="S8" s="115" t="s">
        <v>158</v>
      </c>
      <c r="T8" s="115" t="s">
        <v>159</v>
      </c>
      <c r="U8" s="115" t="s">
        <v>159</v>
      </c>
      <c r="V8" s="115" t="s">
        <v>158</v>
      </c>
      <c r="W8" s="115" t="s">
        <v>159</v>
      </c>
      <c r="X8" s="115" t="s">
        <v>158</v>
      </c>
      <c r="Y8" s="115" t="s">
        <v>159</v>
      </c>
      <c r="Z8" s="115" t="s">
        <v>159</v>
      </c>
      <c r="AA8" s="115" t="s">
        <v>63</v>
      </c>
      <c r="AB8" s="281">
        <f>50/70</f>
        <v>0.7142857142857143</v>
      </c>
      <c r="AC8" s="281"/>
      <c r="AD8" s="282">
        <f>20/70</f>
        <v>0.2857142857142857</v>
      </c>
      <c r="AE8" s="282"/>
    </row>
    <row r="9" spans="1:31" ht="36" customHeight="1">
      <c r="A9" s="116" t="s">
        <v>221</v>
      </c>
      <c r="B9" s="235"/>
      <c r="C9" s="235"/>
      <c r="D9" s="235"/>
      <c r="E9" s="235"/>
      <c r="F9" s="235"/>
      <c r="G9" s="236"/>
      <c r="H9" s="235"/>
      <c r="I9" s="236"/>
      <c r="J9" s="235"/>
      <c r="K9" s="235"/>
      <c r="L9" s="236"/>
      <c r="M9" s="235"/>
      <c r="N9" s="236"/>
      <c r="O9" s="235"/>
      <c r="P9" s="235"/>
      <c r="Q9" s="236"/>
      <c r="R9" s="235"/>
      <c r="S9" s="236"/>
      <c r="T9" s="235"/>
      <c r="U9" s="235"/>
      <c r="V9" s="236"/>
      <c r="W9" s="235"/>
      <c r="X9" s="236"/>
      <c r="Y9" s="235"/>
      <c r="Z9" s="235"/>
      <c r="AA9" s="236"/>
      <c r="AB9" s="117"/>
      <c r="AC9" s="117"/>
      <c r="AD9" s="117"/>
      <c r="AE9" s="117"/>
    </row>
    <row r="10" spans="1:31" ht="68.400000000000006" customHeight="1">
      <c r="A10" s="116" t="s">
        <v>222</v>
      </c>
      <c r="B10" s="118"/>
      <c r="C10" s="118"/>
      <c r="D10" s="194" t="s">
        <v>223</v>
      </c>
      <c r="E10" s="194" t="s">
        <v>224</v>
      </c>
      <c r="F10" s="118" t="s">
        <v>161</v>
      </c>
      <c r="G10" s="194" t="s">
        <v>225</v>
      </c>
      <c r="H10" s="118" t="s">
        <v>226</v>
      </c>
      <c r="I10" s="194" t="s">
        <v>227</v>
      </c>
      <c r="J10" s="118" t="s">
        <v>228</v>
      </c>
      <c r="K10" s="118" t="s">
        <v>164</v>
      </c>
      <c r="L10" s="118" t="s">
        <v>165</v>
      </c>
      <c r="M10" s="118" t="s">
        <v>229</v>
      </c>
      <c r="N10" s="118" t="s">
        <v>167</v>
      </c>
      <c r="O10" s="118" t="s">
        <v>230</v>
      </c>
      <c r="P10" s="118" t="s">
        <v>169</v>
      </c>
      <c r="Q10" s="194" t="s">
        <v>231</v>
      </c>
      <c r="R10" s="118" t="s">
        <v>232</v>
      </c>
      <c r="S10" s="194" t="s">
        <v>233</v>
      </c>
      <c r="T10" s="118" t="s">
        <v>234</v>
      </c>
      <c r="U10" s="118" t="s">
        <v>172</v>
      </c>
      <c r="V10" s="118" t="s">
        <v>235</v>
      </c>
      <c r="W10" s="118" t="s">
        <v>236</v>
      </c>
      <c r="X10" s="118" t="s">
        <v>175</v>
      </c>
      <c r="Y10" s="118" t="s">
        <v>237</v>
      </c>
      <c r="Z10" s="118" t="s">
        <v>177</v>
      </c>
      <c r="AA10" s="118" t="s">
        <v>178</v>
      </c>
      <c r="AB10" s="117"/>
      <c r="AC10" s="117"/>
      <c r="AD10" s="117"/>
      <c r="AE10" s="117"/>
    </row>
    <row r="11" spans="1:31" ht="87" customHeight="1">
      <c r="A11" s="237" t="s">
        <v>238</v>
      </c>
      <c r="B11" s="119"/>
      <c r="C11" s="120"/>
      <c r="D11" s="238">
        <f>'Sch1. (A)'!D11:D12</f>
        <v>0</v>
      </c>
      <c r="E11" s="238">
        <f>'Sch1. (A)'!E11:E12</f>
        <v>0</v>
      </c>
      <c r="F11" s="239">
        <f>D11*E11</f>
        <v>0</v>
      </c>
      <c r="G11" s="240">
        <f>'Sch1. (A)'!G11:G12</f>
        <v>0</v>
      </c>
      <c r="H11" s="239">
        <f>G11*$E11*$AB$8</f>
        <v>0</v>
      </c>
      <c r="I11" s="240">
        <f>'Sch1. (A)'!I11:I12</f>
        <v>0</v>
      </c>
      <c r="J11" s="239">
        <f>I11*E11*$AD$8</f>
        <v>0</v>
      </c>
      <c r="K11" s="239">
        <f>J11+H11</f>
        <v>0</v>
      </c>
      <c r="L11" s="240">
        <f>Q11-G11</f>
        <v>0</v>
      </c>
      <c r="M11" s="239">
        <f>L11*$E11*$AB$8</f>
        <v>0</v>
      </c>
      <c r="N11" s="240">
        <f>S11-I11</f>
        <v>0</v>
      </c>
      <c r="O11" s="239">
        <f>N11*$E11*$AD$8</f>
        <v>0</v>
      </c>
      <c r="P11" s="239">
        <f>O11+M11</f>
        <v>0</v>
      </c>
      <c r="Q11" s="240">
        <f>'Sch1. (A)'!Q11:Q12</f>
        <v>0</v>
      </c>
      <c r="R11" s="239">
        <f>Q11*$E11*$AB$8</f>
        <v>0</v>
      </c>
      <c r="S11" s="240">
        <f>'Sch1. (A)'!S11:S12</f>
        <v>0</v>
      </c>
      <c r="T11" s="239">
        <f>S11*$E11*$AD$8</f>
        <v>0</v>
      </c>
      <c r="U11" s="239">
        <f>T11+R11</f>
        <v>0</v>
      </c>
      <c r="V11" s="240">
        <f>D11-$Q11</f>
        <v>0</v>
      </c>
      <c r="W11" s="239">
        <f>V11*$E11*$AB$8</f>
        <v>0</v>
      </c>
      <c r="X11" s="240">
        <f>D11-S11</f>
        <v>0</v>
      </c>
      <c r="Y11" s="239">
        <f>X11*$E11*$AD$8</f>
        <v>0</v>
      </c>
      <c r="Z11" s="239">
        <f>Y11+W11</f>
        <v>0</v>
      </c>
      <c r="AA11" s="283" t="e">
        <f>Z11/F11</f>
        <v>#DIV/0!</v>
      </c>
      <c r="AB11" s="117"/>
      <c r="AC11" s="117"/>
      <c r="AD11" s="117"/>
      <c r="AE11" s="117"/>
    </row>
    <row r="12" spans="1:31" ht="99.9" customHeight="1">
      <c r="A12" s="237"/>
      <c r="B12" s="119"/>
      <c r="C12" s="120"/>
      <c r="D12" s="238"/>
      <c r="E12" s="238"/>
      <c r="F12" s="239"/>
      <c r="G12" s="240"/>
      <c r="H12" s="239"/>
      <c r="I12" s="240"/>
      <c r="J12" s="239"/>
      <c r="K12" s="239"/>
      <c r="L12" s="240"/>
      <c r="M12" s="239"/>
      <c r="N12" s="240"/>
      <c r="O12" s="239"/>
      <c r="P12" s="239"/>
      <c r="Q12" s="240"/>
      <c r="R12" s="239"/>
      <c r="S12" s="240"/>
      <c r="T12" s="239"/>
      <c r="U12" s="239"/>
      <c r="V12" s="240"/>
      <c r="W12" s="239"/>
      <c r="X12" s="240"/>
      <c r="Y12" s="239"/>
      <c r="Z12" s="239"/>
      <c r="AA12" s="283"/>
      <c r="AB12" s="117"/>
      <c r="AC12" s="117"/>
      <c r="AD12" s="117"/>
      <c r="AE12" s="117"/>
    </row>
    <row r="13" spans="1:31" ht="27.6" customHeight="1">
      <c r="A13" s="237" t="s">
        <v>239</v>
      </c>
      <c r="B13" s="121"/>
      <c r="C13" s="246"/>
      <c r="D13" s="238">
        <f>'Sch1. (A)'!D13:D14</f>
        <v>0</v>
      </c>
      <c r="E13" s="238">
        <f>'Sch1. (A)'!E13:E14</f>
        <v>0</v>
      </c>
      <c r="F13" s="239">
        <f t="shared" ref="F13" si="0">D13*E13</f>
        <v>0</v>
      </c>
      <c r="G13" s="240">
        <f>'Sch1. (A)'!G13:G14</f>
        <v>0</v>
      </c>
      <c r="H13" s="239">
        <f>G13*$E13*$AB$8</f>
        <v>0</v>
      </c>
      <c r="I13" s="240">
        <f>'Sch1. (A)'!I13:I14</f>
        <v>0</v>
      </c>
      <c r="J13" s="239">
        <f>I13*E13*$AD$8</f>
        <v>0</v>
      </c>
      <c r="K13" s="239">
        <f>J13+H13</f>
        <v>0</v>
      </c>
      <c r="L13" s="240">
        <f>Q13-G13</f>
        <v>0</v>
      </c>
      <c r="M13" s="239">
        <f>L13*$E13*$AB$8</f>
        <v>0</v>
      </c>
      <c r="N13" s="240">
        <f>S13-I13</f>
        <v>0</v>
      </c>
      <c r="O13" s="239">
        <f>N13*$E13*$AD$8</f>
        <v>0</v>
      </c>
      <c r="P13" s="239">
        <f>O13+M13</f>
        <v>0</v>
      </c>
      <c r="Q13" s="240">
        <f>'Sch1. (A)'!Q13:Q14</f>
        <v>0</v>
      </c>
      <c r="R13" s="239">
        <f>Q13*$E13*$AB$8</f>
        <v>0</v>
      </c>
      <c r="S13" s="240">
        <f>'Sch1. (A)'!S13:S14</f>
        <v>0</v>
      </c>
      <c r="T13" s="239">
        <f>S13*$E13*$AD$8</f>
        <v>0</v>
      </c>
      <c r="U13" s="239">
        <f>T13+R13</f>
        <v>0</v>
      </c>
      <c r="V13" s="240">
        <f>D13-$Q13</f>
        <v>0</v>
      </c>
      <c r="W13" s="239">
        <f>V13*$E13*$AB$8</f>
        <v>0</v>
      </c>
      <c r="X13" s="240">
        <f>D13-S13</f>
        <v>0</v>
      </c>
      <c r="Y13" s="239">
        <f>X13*$E13*$AD$8</f>
        <v>0</v>
      </c>
      <c r="Z13" s="239">
        <f>Y13+W13</f>
        <v>0</v>
      </c>
      <c r="AA13" s="283" t="e">
        <f>Z13/F13</f>
        <v>#DIV/0!</v>
      </c>
      <c r="AB13" s="117"/>
      <c r="AC13" s="117"/>
      <c r="AD13" s="117"/>
      <c r="AE13" s="117"/>
    </row>
    <row r="14" spans="1:31" ht="36" customHeight="1">
      <c r="A14" s="237"/>
      <c r="B14" s="122"/>
      <c r="C14" s="246"/>
      <c r="D14" s="238"/>
      <c r="E14" s="238"/>
      <c r="F14" s="239"/>
      <c r="G14" s="240"/>
      <c r="H14" s="239"/>
      <c r="I14" s="240"/>
      <c r="J14" s="239"/>
      <c r="K14" s="239"/>
      <c r="L14" s="240"/>
      <c r="M14" s="239"/>
      <c r="N14" s="240"/>
      <c r="O14" s="239"/>
      <c r="P14" s="239"/>
      <c r="Q14" s="240"/>
      <c r="R14" s="239"/>
      <c r="S14" s="240"/>
      <c r="T14" s="239"/>
      <c r="U14" s="239"/>
      <c r="V14" s="240"/>
      <c r="W14" s="239"/>
      <c r="X14" s="240"/>
      <c r="Y14" s="239"/>
      <c r="Z14" s="239"/>
      <c r="AA14" s="283"/>
      <c r="AB14" s="117"/>
      <c r="AC14" s="117"/>
      <c r="AD14" s="117"/>
      <c r="AE14" s="117"/>
    </row>
    <row r="15" spans="1:31" ht="49.95" customHeight="1">
      <c r="A15" s="237" t="s">
        <v>240</v>
      </c>
      <c r="B15" s="119"/>
      <c r="C15" s="120"/>
      <c r="D15" s="238">
        <f>'Sch1. (A)'!D15:D16</f>
        <v>0</v>
      </c>
      <c r="E15" s="238">
        <f>'Sch1. (A)'!E15:E16</f>
        <v>0</v>
      </c>
      <c r="F15" s="239">
        <f t="shared" ref="F15" si="1">D15*E15</f>
        <v>0</v>
      </c>
      <c r="G15" s="240">
        <f>'Sch1. (A)'!G15:G16</f>
        <v>0</v>
      </c>
      <c r="H15" s="239">
        <f>G15*$E15*$AB$8</f>
        <v>0</v>
      </c>
      <c r="I15" s="240">
        <f>'Sch1. (A)'!I15:I16</f>
        <v>0</v>
      </c>
      <c r="J15" s="239">
        <f>I15*E15*$AD$8</f>
        <v>0</v>
      </c>
      <c r="K15" s="239">
        <f>J15+H15</f>
        <v>0</v>
      </c>
      <c r="L15" s="240">
        <f>Q15-G15</f>
        <v>0</v>
      </c>
      <c r="M15" s="239">
        <f>L15*$E15*$AB$8</f>
        <v>0</v>
      </c>
      <c r="N15" s="240">
        <f>S15-I15</f>
        <v>0</v>
      </c>
      <c r="O15" s="239">
        <f>N15*$E15*$AD$8</f>
        <v>0</v>
      </c>
      <c r="P15" s="239">
        <f>O15+M15</f>
        <v>0</v>
      </c>
      <c r="Q15" s="240">
        <f>'Sch1. (A)'!Q15:Q16</f>
        <v>0</v>
      </c>
      <c r="R15" s="239">
        <f>Q15*$E15*$AB$8</f>
        <v>0</v>
      </c>
      <c r="S15" s="240">
        <f>'Sch1. (A)'!S15:S16</f>
        <v>0</v>
      </c>
      <c r="T15" s="239">
        <f>S15*$E15*$AD$8</f>
        <v>0</v>
      </c>
      <c r="U15" s="239">
        <f>T15+R15</f>
        <v>0</v>
      </c>
      <c r="V15" s="240">
        <f>D15-$Q15</f>
        <v>0</v>
      </c>
      <c r="W15" s="239">
        <f>V15*$E15*$AB$8</f>
        <v>0</v>
      </c>
      <c r="X15" s="240">
        <f>D15-S15</f>
        <v>0</v>
      </c>
      <c r="Y15" s="239">
        <f>X15*$E15*$AD$8</f>
        <v>0</v>
      </c>
      <c r="Z15" s="239">
        <f>Y15+W15</f>
        <v>0</v>
      </c>
      <c r="AA15" s="283" t="e">
        <f>Z15/F15</f>
        <v>#DIV/0!</v>
      </c>
      <c r="AB15" s="123"/>
      <c r="AC15" s="123"/>
      <c r="AD15" s="123"/>
      <c r="AE15" s="123"/>
    </row>
    <row r="16" spans="1:31" ht="49.95" customHeight="1">
      <c r="A16" s="237"/>
      <c r="B16" s="119"/>
      <c r="C16" s="120"/>
      <c r="D16" s="238"/>
      <c r="E16" s="238"/>
      <c r="F16" s="239"/>
      <c r="G16" s="240"/>
      <c r="H16" s="239"/>
      <c r="I16" s="240"/>
      <c r="J16" s="239"/>
      <c r="K16" s="239"/>
      <c r="L16" s="240"/>
      <c r="M16" s="239"/>
      <c r="N16" s="240"/>
      <c r="O16" s="239"/>
      <c r="P16" s="239"/>
      <c r="Q16" s="240"/>
      <c r="R16" s="239"/>
      <c r="S16" s="240"/>
      <c r="T16" s="239"/>
      <c r="U16" s="239"/>
      <c r="V16" s="240"/>
      <c r="W16" s="239"/>
      <c r="X16" s="240"/>
      <c r="Y16" s="239"/>
      <c r="Z16" s="239"/>
      <c r="AA16" s="283"/>
      <c r="AB16" s="123"/>
      <c r="AC16" s="123"/>
      <c r="AD16" s="123"/>
      <c r="AE16" s="123"/>
    </row>
    <row r="17" spans="1:31" ht="20.100000000000001" customHeight="1">
      <c r="A17" s="237" t="s">
        <v>241</v>
      </c>
      <c r="B17" s="121"/>
      <c r="C17" s="120"/>
      <c r="D17" s="238">
        <f>'Sch1. (A)'!D17:D18</f>
        <v>0</v>
      </c>
      <c r="E17" s="238">
        <f>'Sch1. (A)'!E17:E18</f>
        <v>0</v>
      </c>
      <c r="F17" s="239">
        <f t="shared" ref="F17" si="2">D17*E17</f>
        <v>0</v>
      </c>
      <c r="G17" s="240">
        <f>'Sch1. (A)'!G17:G18</f>
        <v>0</v>
      </c>
      <c r="H17" s="239">
        <f>G17*$E17*$AB$8</f>
        <v>0</v>
      </c>
      <c r="I17" s="240">
        <f>'Sch1. (A)'!I17:I18</f>
        <v>0</v>
      </c>
      <c r="J17" s="239">
        <f>I17*E17*$AD$8</f>
        <v>0</v>
      </c>
      <c r="K17" s="239">
        <f>J17+H17</f>
        <v>0</v>
      </c>
      <c r="L17" s="240">
        <f>Q17-G17</f>
        <v>0</v>
      </c>
      <c r="M17" s="239">
        <f>L17*$E17*$AB$8</f>
        <v>0</v>
      </c>
      <c r="N17" s="240">
        <f>S17-I17</f>
        <v>0</v>
      </c>
      <c r="O17" s="239">
        <f>N17*$E17*$AD$8</f>
        <v>0</v>
      </c>
      <c r="P17" s="239">
        <f>O17+M17</f>
        <v>0</v>
      </c>
      <c r="Q17" s="240">
        <f>'Sch1. (A)'!Q17:Q18</f>
        <v>0</v>
      </c>
      <c r="R17" s="239">
        <f>Q17*$E17*$AB$8</f>
        <v>0</v>
      </c>
      <c r="S17" s="240">
        <f>'Sch1. (A)'!S17:S18</f>
        <v>0</v>
      </c>
      <c r="T17" s="239">
        <f>S17*$E17*$AD$8</f>
        <v>0</v>
      </c>
      <c r="U17" s="239">
        <f>T17+R17</f>
        <v>0</v>
      </c>
      <c r="V17" s="240">
        <f>D17-$Q17</f>
        <v>0</v>
      </c>
      <c r="W17" s="239">
        <f>V17*$E17*$AB$8</f>
        <v>0</v>
      </c>
      <c r="X17" s="240">
        <f>D17-S17</f>
        <v>0</v>
      </c>
      <c r="Y17" s="239">
        <f>X17*$E17*$AD$8</f>
        <v>0</v>
      </c>
      <c r="Z17" s="239">
        <f>Y17+W17</f>
        <v>0</v>
      </c>
      <c r="AA17" s="283" t="e">
        <f>Z17/F17</f>
        <v>#DIV/0!</v>
      </c>
      <c r="AB17" s="117"/>
      <c r="AC17" s="117"/>
      <c r="AD17" s="117"/>
      <c r="AE17" s="117"/>
    </row>
    <row r="18" spans="1:31" ht="20.100000000000001" customHeight="1">
      <c r="A18" s="237"/>
      <c r="B18" s="122"/>
      <c r="C18" s="120"/>
      <c r="D18" s="238"/>
      <c r="E18" s="238"/>
      <c r="F18" s="239"/>
      <c r="G18" s="240"/>
      <c r="H18" s="239"/>
      <c r="I18" s="240"/>
      <c r="J18" s="239"/>
      <c r="K18" s="239"/>
      <c r="L18" s="240"/>
      <c r="M18" s="239"/>
      <c r="N18" s="240"/>
      <c r="O18" s="239"/>
      <c r="P18" s="239"/>
      <c r="Q18" s="240"/>
      <c r="R18" s="239"/>
      <c r="S18" s="240"/>
      <c r="T18" s="239"/>
      <c r="U18" s="239"/>
      <c r="V18" s="240"/>
      <c r="W18" s="239"/>
      <c r="X18" s="240"/>
      <c r="Y18" s="239"/>
      <c r="Z18" s="239"/>
      <c r="AA18" s="283"/>
      <c r="AB18" s="117"/>
      <c r="AC18" s="117"/>
      <c r="AD18" s="117"/>
      <c r="AE18" s="117"/>
    </row>
    <row r="19" spans="1:31" ht="31.2" customHeight="1">
      <c r="A19" s="124" t="s">
        <v>179</v>
      </c>
      <c r="B19" s="236" t="s">
        <v>180</v>
      </c>
      <c r="C19" s="236"/>
      <c r="D19" s="236"/>
      <c r="E19" s="236"/>
      <c r="F19" s="195" t="e">
        <f>SUM(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F11:F18)</f>
        <v>#REF!</v>
      </c>
      <c r="G19" s="124"/>
      <c r="H19" s="125">
        <f>SUM(H11:H18)</f>
        <v>0</v>
      </c>
      <c r="I19" s="124"/>
      <c r="J19" s="125">
        <f>SUM(J11:J18)</f>
        <v>0</v>
      </c>
      <c r="K19" s="125">
        <f>SUM(K11:K18)</f>
        <v>0</v>
      </c>
      <c r="L19" s="124"/>
      <c r="M19" s="125">
        <f>SUM(M11:M18)</f>
        <v>0</v>
      </c>
      <c r="N19" s="124"/>
      <c r="O19" s="125">
        <f>SUM(O11:O18)</f>
        <v>0</v>
      </c>
      <c r="P19" s="125">
        <f>SUM(P11:P18)</f>
        <v>0</v>
      </c>
      <c r="Q19" s="124"/>
      <c r="R19" s="125">
        <f>SUM(R11:R18)</f>
        <v>0</v>
      </c>
      <c r="S19" s="124"/>
      <c r="T19" s="125">
        <f>SUM(T11:T18)</f>
        <v>0</v>
      </c>
      <c r="U19" s="125">
        <f>SUM(U11:U18)</f>
        <v>0</v>
      </c>
      <c r="V19" s="124"/>
      <c r="W19" s="125">
        <f>SUM(W11:W18)</f>
        <v>0</v>
      </c>
      <c r="X19" s="124"/>
      <c r="Y19" s="125">
        <f>SUM(Y11:Y18)</f>
        <v>0</v>
      </c>
      <c r="Z19" s="125">
        <f>SUM(Z11:Z18)</f>
        <v>0</v>
      </c>
      <c r="AA19" s="196" t="e">
        <f>Z19/F19</f>
        <v>#REF!</v>
      </c>
      <c r="AB19" s="123"/>
      <c r="AC19" s="123"/>
      <c r="AD19" s="123"/>
      <c r="AE19" s="123"/>
    </row>
    <row r="20" spans="1:31" ht="25.2" customHeight="1">
      <c r="AA20" s="197"/>
    </row>
    <row r="21" spans="1:31" ht="25.2" customHeight="1"/>
    <row r="22" spans="1:31" ht="25.2" customHeight="1"/>
    <row r="23" spans="1:31" ht="25.2" customHeight="1">
      <c r="B23" s="129"/>
      <c r="D23" s="130"/>
      <c r="E23" s="130"/>
      <c r="F23" s="130"/>
    </row>
    <row r="24" spans="1:31" ht="25.2" customHeight="1">
      <c r="B24" s="129"/>
      <c r="D24" s="130"/>
      <c r="E24" s="130"/>
      <c r="F24" s="130"/>
    </row>
    <row r="25" spans="1:31" ht="25.2" customHeight="1">
      <c r="B25" s="129"/>
      <c r="D25" s="130"/>
      <c r="E25" s="130"/>
      <c r="F25" s="130"/>
    </row>
    <row r="26" spans="1:31" ht="25.2" customHeight="1">
      <c r="B26" s="129"/>
      <c r="D26" s="130"/>
      <c r="E26" s="130"/>
      <c r="F26" s="130"/>
    </row>
    <row r="27" spans="1:31" ht="25.2" customHeight="1">
      <c r="B27" s="129"/>
      <c r="D27" s="130"/>
      <c r="E27" s="130"/>
      <c r="F27" s="130"/>
    </row>
    <row r="28" spans="1:31" ht="25.2" customHeight="1">
      <c r="B28" s="129"/>
      <c r="D28" s="130"/>
      <c r="E28" s="130"/>
      <c r="F28" s="130"/>
    </row>
    <row r="29" spans="1:31" ht="25.2" customHeight="1">
      <c r="B29" s="129"/>
      <c r="D29" s="130"/>
      <c r="E29" s="130"/>
      <c r="F29" s="130"/>
    </row>
    <row r="30" spans="1:31" ht="25.2" customHeight="1">
      <c r="B30" s="129"/>
      <c r="D30" s="130"/>
      <c r="E30" s="130"/>
      <c r="F30" s="130"/>
    </row>
    <row r="31" spans="1:31" ht="25.2" customHeight="1">
      <c r="B31" s="129"/>
      <c r="D31" s="130"/>
      <c r="E31" s="130"/>
      <c r="F31" s="130"/>
    </row>
    <row r="32" spans="1:31" ht="25.2" customHeight="1">
      <c r="B32" s="129"/>
      <c r="D32" s="130"/>
      <c r="E32" s="130"/>
      <c r="F32" s="130"/>
    </row>
    <row r="33" spans="2:6" ht="25.2" customHeight="1">
      <c r="B33" s="129"/>
      <c r="D33" s="130"/>
      <c r="E33" s="130"/>
      <c r="F33" s="130"/>
    </row>
    <row r="34" spans="2:6" ht="25.2" customHeight="1">
      <c r="B34" s="129"/>
      <c r="D34" s="130"/>
      <c r="E34" s="130"/>
      <c r="F34" s="130"/>
    </row>
    <row r="35" spans="2:6" ht="25.2" customHeight="1">
      <c r="B35" s="129"/>
      <c r="D35" s="130"/>
      <c r="E35" s="130"/>
      <c r="F35" s="130"/>
    </row>
    <row r="36" spans="2:6" ht="25.2" customHeight="1">
      <c r="B36" s="129"/>
      <c r="D36" s="130"/>
      <c r="E36" s="130"/>
      <c r="F36" s="130"/>
    </row>
    <row r="37" spans="2:6" ht="25.2" customHeight="1">
      <c r="B37" s="129"/>
      <c r="D37" s="130"/>
      <c r="E37" s="130"/>
      <c r="F37" s="130"/>
    </row>
    <row r="38" spans="2:6" ht="25.2" customHeight="1">
      <c r="B38" s="129"/>
      <c r="D38" s="130"/>
      <c r="E38" s="130"/>
      <c r="F38" s="130"/>
    </row>
    <row r="39" spans="2:6" ht="25.2" customHeight="1">
      <c r="B39" s="129"/>
      <c r="D39" s="130"/>
      <c r="E39" s="130"/>
      <c r="F39" s="130"/>
    </row>
    <row r="40" spans="2:6" ht="25.2" customHeight="1">
      <c r="B40" s="129"/>
      <c r="D40" s="130"/>
      <c r="E40" s="130"/>
      <c r="F40" s="130"/>
    </row>
    <row r="41" spans="2:6" ht="25.2" customHeight="1">
      <c r="B41" s="129"/>
      <c r="D41" s="130"/>
      <c r="E41" s="130"/>
      <c r="F41" s="130"/>
    </row>
    <row r="42" spans="2:6" ht="25.2" customHeight="1">
      <c r="B42" s="129"/>
      <c r="D42" s="130"/>
      <c r="E42" s="130"/>
      <c r="F42" s="130"/>
    </row>
    <row r="43" spans="2:6" ht="25.2" customHeight="1">
      <c r="B43" s="129"/>
      <c r="D43" s="130"/>
      <c r="E43" s="130"/>
      <c r="F43" s="130"/>
    </row>
  </sheetData>
  <autoFilter ref="A6:F19" xr:uid="{00000000-0009-0000-0000-000008000000}"/>
  <mergeCells count="134">
    <mergeCell ref="I15:I16"/>
    <mergeCell ref="J15:J16"/>
    <mergeCell ref="X17:X18"/>
    <mergeCell ref="Y17:Y18"/>
    <mergeCell ref="Z17:Z18"/>
    <mergeCell ref="AA17:AA18"/>
    <mergeCell ref="B19:E19"/>
    <mergeCell ref="R17:R18"/>
    <mergeCell ref="S17:S18"/>
    <mergeCell ref="T17:T18"/>
    <mergeCell ref="U17:U18"/>
    <mergeCell ref="V17:V18"/>
    <mergeCell ref="W17:W18"/>
    <mergeCell ref="L17:L18"/>
    <mergeCell ref="M17:M18"/>
    <mergeCell ref="N17:N18"/>
    <mergeCell ref="O17:O18"/>
    <mergeCell ref="P17:P18"/>
    <mergeCell ref="Q17:Q18"/>
    <mergeCell ref="A15:A16"/>
    <mergeCell ref="D15:D16"/>
    <mergeCell ref="E15:E16"/>
    <mergeCell ref="F15:F16"/>
    <mergeCell ref="G15:G16"/>
    <mergeCell ref="H15:H16"/>
    <mergeCell ref="AA15:AA16"/>
    <mergeCell ref="A17:A18"/>
    <mergeCell ref="D17:D18"/>
    <mergeCell ref="E17:E18"/>
    <mergeCell ref="F17:F18"/>
    <mergeCell ref="G17:G18"/>
    <mergeCell ref="H17:H18"/>
    <mergeCell ref="I17:I18"/>
    <mergeCell ref="J17:J18"/>
    <mergeCell ref="K17:K18"/>
    <mergeCell ref="U15:U16"/>
    <mergeCell ref="V15:V16"/>
    <mergeCell ref="W15:W16"/>
    <mergeCell ref="X15:X16"/>
    <mergeCell ref="Y15:Y16"/>
    <mergeCell ref="Z15:Z16"/>
    <mergeCell ref="O15:O16"/>
    <mergeCell ref="P15:P16"/>
    <mergeCell ref="AA13:AA14"/>
    <mergeCell ref="P13:P14"/>
    <mergeCell ref="Q13:Q14"/>
    <mergeCell ref="R13:R14"/>
    <mergeCell ref="S13:S14"/>
    <mergeCell ref="T13:T14"/>
    <mergeCell ref="U13:U14"/>
    <mergeCell ref="K15:K16"/>
    <mergeCell ref="L15:L16"/>
    <mergeCell ref="M15:M16"/>
    <mergeCell ref="N15:N16"/>
    <mergeCell ref="Q15:Q16"/>
    <mergeCell ref="R15:R16"/>
    <mergeCell ref="S15:S16"/>
    <mergeCell ref="T15:T16"/>
    <mergeCell ref="O13:O14"/>
    <mergeCell ref="Z11:Z12"/>
    <mergeCell ref="AA11:AA12"/>
    <mergeCell ref="A13:A14"/>
    <mergeCell ref="C13:C14"/>
    <mergeCell ref="D13:D14"/>
    <mergeCell ref="E13:E14"/>
    <mergeCell ref="F13:F14"/>
    <mergeCell ref="G13:G14"/>
    <mergeCell ref="H13:H14"/>
    <mergeCell ref="I13:I14"/>
    <mergeCell ref="T11:T12"/>
    <mergeCell ref="U11:U12"/>
    <mergeCell ref="V11:V12"/>
    <mergeCell ref="W11:W12"/>
    <mergeCell ref="X11:X12"/>
    <mergeCell ref="Y11:Y12"/>
    <mergeCell ref="N11:N12"/>
    <mergeCell ref="O11:O12"/>
    <mergeCell ref="V13:V14"/>
    <mergeCell ref="W13:W14"/>
    <mergeCell ref="X13:X14"/>
    <mergeCell ref="Y13:Y14"/>
    <mergeCell ref="Z13:Z14"/>
    <mergeCell ref="J11:J12"/>
    <mergeCell ref="K11:K12"/>
    <mergeCell ref="L11:L12"/>
    <mergeCell ref="M11:M12"/>
    <mergeCell ref="J13:J14"/>
    <mergeCell ref="K13:K14"/>
    <mergeCell ref="L13:L14"/>
    <mergeCell ref="M13:M14"/>
    <mergeCell ref="N13:N14"/>
    <mergeCell ref="AB8:AC8"/>
    <mergeCell ref="AD8:AE8"/>
    <mergeCell ref="B9:AA9"/>
    <mergeCell ref="A11:A12"/>
    <mergeCell ref="D11:D12"/>
    <mergeCell ref="E11:E12"/>
    <mergeCell ref="F11:F12"/>
    <mergeCell ref="G11:G12"/>
    <mergeCell ref="AB6:AC7"/>
    <mergeCell ref="AD6:AE7"/>
    <mergeCell ref="B7:B8"/>
    <mergeCell ref="C7:C8"/>
    <mergeCell ref="D7:D8"/>
    <mergeCell ref="E7:E8"/>
    <mergeCell ref="F7:F8"/>
    <mergeCell ref="G7:H7"/>
    <mergeCell ref="I7:J7"/>
    <mergeCell ref="L7:M7"/>
    <mergeCell ref="P11:P12"/>
    <mergeCell ref="Q11:Q12"/>
    <mergeCell ref="R11:R12"/>
    <mergeCell ref="S11:S12"/>
    <mergeCell ref="H11:H12"/>
    <mergeCell ref="I11:I12"/>
    <mergeCell ref="B1:AA1"/>
    <mergeCell ref="B2:AA2"/>
    <mergeCell ref="B3:AA3"/>
    <mergeCell ref="B4:C4"/>
    <mergeCell ref="D4:H4"/>
    <mergeCell ref="T4:X4"/>
    <mergeCell ref="Y4:AA4"/>
    <mergeCell ref="A5:AA5"/>
    <mergeCell ref="A6:A8"/>
    <mergeCell ref="G6:K6"/>
    <mergeCell ref="L6:P6"/>
    <mergeCell ref="Q6:U6"/>
    <mergeCell ref="V6:Z6"/>
    <mergeCell ref="AA6:AA7"/>
    <mergeCell ref="N7:O7"/>
    <mergeCell ref="Q7:R7"/>
    <mergeCell ref="S7:T7"/>
    <mergeCell ref="V7:W7"/>
    <mergeCell ref="X7:Y7"/>
  </mergeCells>
  <printOptions horizontalCentered="1"/>
  <pageMargins left="0.35416666666666702" right="0.2" top="0.78680555555555598" bottom="0.39305555555555599" header="0.297916666666667" footer="0.15625"/>
  <pageSetup paperSize="9" scale="26" fitToHeight="0" orientation="landscape" r:id="rId1"/>
  <headerFooter scaleWithDoc="0" alignWithMargins="0">
    <oddHeader>&amp;C&amp;G</oddHeader>
  </headerFooter>
  <rowBreaks count="1" manualBreakCount="1">
    <brk id="19" max="16383" man="1"/>
  </rowBreaks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 tint="-0.249977111117893"/>
    <pageSetUpPr fitToPage="1"/>
  </sheetPr>
  <dimension ref="A1:P20"/>
  <sheetViews>
    <sheetView view="pageBreakPreview" zoomScale="55" zoomScaleNormal="85" zoomScaleSheetLayoutView="55" workbookViewId="0">
      <pane xSplit="6" ySplit="9" topLeftCell="G10" activePane="bottomRight" state="frozen"/>
      <selection activeCell="D18" sqref="D18"/>
      <selection pane="topRight" activeCell="D18" sqref="D18"/>
      <selection pane="bottomLeft" activeCell="D18" sqref="D18"/>
      <selection pane="bottomRight" activeCell="D18" sqref="D18"/>
    </sheetView>
  </sheetViews>
  <sheetFormatPr defaultColWidth="9.109375" defaultRowHeight="35.1" customHeight="1"/>
  <cols>
    <col min="1" max="1" width="15.6640625" style="1" customWidth="1"/>
    <col min="2" max="2" width="100.6640625" style="1" customWidth="1"/>
    <col min="3" max="3" width="15.6640625" style="1" customWidth="1"/>
    <col min="4" max="4" width="20.6640625" style="1" customWidth="1"/>
    <col min="5" max="5" width="15.6640625" style="1" customWidth="1"/>
    <col min="6" max="6" width="20.6640625" style="1" customWidth="1"/>
    <col min="7" max="7" width="20.109375" style="1" customWidth="1"/>
    <col min="8" max="8" width="16.109375" style="1" customWidth="1"/>
    <col min="9" max="9" width="13.6640625" style="1" customWidth="1"/>
    <col min="10" max="10" width="16.109375" style="1" customWidth="1"/>
    <col min="11" max="11" width="20.44140625" style="1" customWidth="1"/>
    <col min="12" max="12" width="18.33203125" style="1" customWidth="1"/>
    <col min="13" max="13" width="13.6640625" style="1" customWidth="1"/>
    <col min="14" max="14" width="17.5546875" style="1" customWidth="1"/>
    <col min="15" max="15" width="19.109375" style="1" customWidth="1"/>
    <col min="16" max="16" width="16.33203125" style="1" customWidth="1"/>
    <col min="17" max="16384" width="9.109375" style="1"/>
  </cols>
  <sheetData>
    <row r="1" spans="1:16" ht="33" customHeight="1">
      <c r="A1" s="179"/>
      <c r="B1" s="213" t="str">
        <f>'Bill Summary'!B1:O1</f>
        <v xml:space="preserve">Name of a project /  Название котракту             </v>
      </c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</row>
    <row r="2" spans="1:16" ht="79.5" customHeight="1">
      <c r="A2" s="179"/>
      <c r="B2" s="213" t="str">
        <f>'Bill Summary'!B2:O2</f>
        <v>Contract identifier / 
Идентификатор контракта</v>
      </c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</row>
    <row r="3" spans="1:16" ht="27.9" customHeight="1">
      <c r="A3" s="179"/>
      <c r="B3" s="213" t="str">
        <f>'Bill Summary'!B3:J3</f>
        <v>IPC #   / СПП № #</v>
      </c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</row>
    <row r="4" spans="1:16" ht="45.75" customHeight="1">
      <c r="A4" s="179"/>
      <c r="B4" s="227" t="str">
        <f>'Bill Summary'!B4:C4</f>
        <v>Start of Works/ Начало работ :  DD.MM.YYYY</v>
      </c>
      <c r="C4" s="227"/>
      <c r="D4" s="35"/>
      <c r="E4" s="35"/>
      <c r="F4" s="35"/>
      <c r="G4" s="33"/>
      <c r="H4" s="35"/>
      <c r="I4" s="251" t="s">
        <v>48</v>
      </c>
      <c r="J4" s="251"/>
      <c r="K4" s="251"/>
      <c r="L4" s="251"/>
      <c r="M4" s="251" t="str">
        <f>'Cover of IPC '!D7</f>
        <v>DD.MM.YYYY - DD.MM.YYYY</v>
      </c>
      <c r="N4" s="251"/>
      <c r="O4" s="251"/>
    </row>
    <row r="5" spans="1:16" ht="26.25" customHeight="1">
      <c r="A5" s="252" t="s">
        <v>242</v>
      </c>
      <c r="B5" s="252"/>
      <c r="C5" s="252"/>
      <c r="D5" s="252"/>
      <c r="E5" s="252"/>
      <c r="F5" s="252"/>
      <c r="G5" s="252"/>
      <c r="H5" s="252"/>
      <c r="I5" s="252"/>
      <c r="J5" s="252"/>
      <c r="K5" s="252"/>
      <c r="L5" s="252"/>
      <c r="M5" s="252"/>
      <c r="N5" s="252"/>
      <c r="O5" s="252"/>
    </row>
    <row r="6" spans="1:16" ht="69.75" customHeight="1">
      <c r="A6" s="253" t="s">
        <v>185</v>
      </c>
      <c r="B6" s="112" t="s">
        <v>140</v>
      </c>
      <c r="C6" s="112" t="s">
        <v>141</v>
      </c>
      <c r="D6" s="113" t="s">
        <v>142</v>
      </c>
      <c r="E6" s="114" t="s">
        <v>143</v>
      </c>
      <c r="F6" s="114" t="s">
        <v>144</v>
      </c>
      <c r="G6" s="232" t="s">
        <v>145</v>
      </c>
      <c r="H6" s="232"/>
      <c r="I6" s="232" t="s">
        <v>146</v>
      </c>
      <c r="J6" s="232"/>
      <c r="K6" s="232" t="s">
        <v>147</v>
      </c>
      <c r="L6" s="232"/>
      <c r="M6" s="232" t="s">
        <v>148</v>
      </c>
      <c r="N6" s="232"/>
      <c r="O6" s="115" t="s">
        <v>149</v>
      </c>
    </row>
    <row r="7" spans="1:16" ht="49.95" customHeight="1">
      <c r="A7" s="253"/>
      <c r="B7" s="113" t="s">
        <v>152</v>
      </c>
      <c r="C7" s="133" t="s">
        <v>153</v>
      </c>
      <c r="D7" s="133" t="s">
        <v>154</v>
      </c>
      <c r="E7" s="134" t="s">
        <v>155</v>
      </c>
      <c r="F7" s="134" t="s">
        <v>156</v>
      </c>
      <c r="G7" s="115" t="s">
        <v>158</v>
      </c>
      <c r="H7" s="115" t="s">
        <v>159</v>
      </c>
      <c r="I7" s="115" t="s">
        <v>158</v>
      </c>
      <c r="J7" s="115" t="s">
        <v>159</v>
      </c>
      <c r="K7" s="115" t="s">
        <v>158</v>
      </c>
      <c r="L7" s="115" t="s">
        <v>159</v>
      </c>
      <c r="M7" s="115" t="s">
        <v>158</v>
      </c>
      <c r="N7" s="115" t="s">
        <v>159</v>
      </c>
      <c r="O7" s="115" t="s">
        <v>63</v>
      </c>
      <c r="P7" s="136">
        <v>1</v>
      </c>
    </row>
    <row r="8" spans="1:16" ht="25.2" customHeight="1">
      <c r="A8" s="137"/>
      <c r="B8" s="254"/>
      <c r="C8" s="254"/>
      <c r="D8" s="254"/>
      <c r="E8" s="254"/>
      <c r="F8" s="254"/>
      <c r="G8" s="138"/>
      <c r="H8" s="138"/>
      <c r="I8" s="138"/>
      <c r="J8" s="138"/>
      <c r="K8" s="138"/>
      <c r="L8" s="138"/>
      <c r="M8" s="138"/>
      <c r="N8" s="138"/>
      <c r="O8" s="138"/>
      <c r="P8" s="140"/>
    </row>
    <row r="9" spans="1:16" ht="48.6" customHeight="1">
      <c r="A9" s="137"/>
      <c r="B9" s="141"/>
      <c r="C9" s="141"/>
      <c r="D9" s="198" t="s">
        <v>243</v>
      </c>
      <c r="E9" s="198" t="s">
        <v>244</v>
      </c>
      <c r="F9" s="141" t="s">
        <v>161</v>
      </c>
      <c r="G9" s="198" t="s">
        <v>245</v>
      </c>
      <c r="H9" s="198" t="s">
        <v>246</v>
      </c>
      <c r="I9" s="198" t="s">
        <v>187</v>
      </c>
      <c r="J9" s="198" t="s">
        <v>247</v>
      </c>
      <c r="K9" s="198" t="s">
        <v>248</v>
      </c>
      <c r="L9" s="198" t="s">
        <v>249</v>
      </c>
      <c r="M9" s="198" t="s">
        <v>206</v>
      </c>
      <c r="N9" s="198" t="s">
        <v>250</v>
      </c>
      <c r="O9" s="198" t="s">
        <v>192</v>
      </c>
    </row>
    <row r="10" spans="1:16" ht="25.2" customHeight="1">
      <c r="A10" s="255"/>
      <c r="B10" s="142"/>
      <c r="C10" s="143"/>
      <c r="D10" s="256">
        <f>'Sch3. (A)'!D10:D11</f>
        <v>0</v>
      </c>
      <c r="E10" s="256">
        <f>'Sch3. (A)'!E10:E11</f>
        <v>0</v>
      </c>
      <c r="F10" s="257">
        <f>D10*E10</f>
        <v>0</v>
      </c>
      <c r="G10" s="240">
        <f>'Sch3. (A)'!G10:G11</f>
        <v>0</v>
      </c>
      <c r="H10" s="239">
        <f>G10*$E10*$P$7</f>
        <v>0</v>
      </c>
      <c r="I10" s="240">
        <f>K10-G10</f>
        <v>0</v>
      </c>
      <c r="J10" s="239">
        <f>I10*$E10*$P$7</f>
        <v>0</v>
      </c>
      <c r="K10" s="240">
        <f>'Sch3. (A)'!K10:K11</f>
        <v>0</v>
      </c>
      <c r="L10" s="239">
        <f>K10*$E10*$P$7</f>
        <v>0</v>
      </c>
      <c r="M10" s="240">
        <f>D10-$K10</f>
        <v>0</v>
      </c>
      <c r="N10" s="239">
        <f>M10*$E10*$P$7</f>
        <v>0</v>
      </c>
      <c r="O10" s="258" t="e">
        <f>N10/(F10*$P$7)</f>
        <v>#DIV/0!</v>
      </c>
    </row>
    <row r="11" spans="1:16" ht="25.2" customHeight="1">
      <c r="A11" s="255"/>
      <c r="B11" s="142"/>
      <c r="C11" s="143"/>
      <c r="D11" s="256"/>
      <c r="E11" s="256"/>
      <c r="F11" s="257"/>
      <c r="G11" s="240"/>
      <c r="H11" s="239"/>
      <c r="I11" s="240"/>
      <c r="J11" s="239"/>
      <c r="K11" s="240"/>
      <c r="L11" s="239"/>
      <c r="M11" s="240"/>
      <c r="N11" s="239"/>
      <c r="O11" s="258"/>
    </row>
    <row r="12" spans="1:16" ht="25.2" customHeight="1">
      <c r="A12" s="255"/>
      <c r="B12" s="142"/>
      <c r="C12" s="143"/>
      <c r="D12" s="256">
        <f>'Sch3. (A)'!D12:D13</f>
        <v>0</v>
      </c>
      <c r="E12" s="256">
        <f>'Sch3. (A)'!E12:E13</f>
        <v>0</v>
      </c>
      <c r="F12" s="257">
        <f t="shared" ref="F12" si="0">D12*E12</f>
        <v>0</v>
      </c>
      <c r="G12" s="240">
        <f>'Sch3. (A)'!G12:G13</f>
        <v>0</v>
      </c>
      <c r="H12" s="239">
        <f>G12*$E12*$P$7</f>
        <v>0</v>
      </c>
      <c r="I12" s="240">
        <f>K12-G12</f>
        <v>0</v>
      </c>
      <c r="J12" s="239">
        <f>I12*$E12*$P$7</f>
        <v>0</v>
      </c>
      <c r="K12" s="240">
        <f>'Sch3. (A)'!K12:K13</f>
        <v>0</v>
      </c>
      <c r="L12" s="239">
        <f>K12*$E12*$P$7</f>
        <v>0</v>
      </c>
      <c r="M12" s="240">
        <f>D12-$K12</f>
        <v>0</v>
      </c>
      <c r="N12" s="239">
        <f>M12*$E12*$P$7</f>
        <v>0</v>
      </c>
      <c r="O12" s="258" t="e">
        <f>N12/(F12*$P$7)</f>
        <v>#DIV/0!</v>
      </c>
    </row>
    <row r="13" spans="1:16" ht="25.2" customHeight="1">
      <c r="A13" s="255"/>
      <c r="B13" s="142"/>
      <c r="C13" s="143"/>
      <c r="D13" s="256"/>
      <c r="E13" s="256"/>
      <c r="F13" s="257"/>
      <c r="G13" s="240"/>
      <c r="H13" s="239"/>
      <c r="I13" s="240"/>
      <c r="J13" s="239"/>
      <c r="K13" s="240"/>
      <c r="L13" s="239"/>
      <c r="M13" s="240"/>
      <c r="N13" s="239"/>
      <c r="O13" s="258"/>
    </row>
    <row r="14" spans="1:16" ht="25.2" customHeight="1">
      <c r="A14" s="255"/>
      <c r="B14" s="142"/>
      <c r="C14" s="143"/>
      <c r="D14" s="256">
        <f>'Sch3. (A)'!D14:D15</f>
        <v>0</v>
      </c>
      <c r="E14" s="256">
        <f>'Sch3. (A)'!E14:E15</f>
        <v>0</v>
      </c>
      <c r="F14" s="257">
        <f t="shared" ref="F14" si="1">D14*E14</f>
        <v>0</v>
      </c>
      <c r="G14" s="240">
        <f>'Sch3. (A)'!G14:G15</f>
        <v>0</v>
      </c>
      <c r="H14" s="239">
        <f>G14*$E14*$P$7</f>
        <v>0</v>
      </c>
      <c r="I14" s="240">
        <f>K14-G14</f>
        <v>0</v>
      </c>
      <c r="J14" s="239">
        <f>I14*$E14*$P$7</f>
        <v>0</v>
      </c>
      <c r="K14" s="240">
        <f>'Sch3. (A)'!K14:K15</f>
        <v>0</v>
      </c>
      <c r="L14" s="239">
        <f>K14*$E14*$P$7</f>
        <v>0</v>
      </c>
      <c r="M14" s="240">
        <f>D14-$K14</f>
        <v>0</v>
      </c>
      <c r="N14" s="239">
        <f>M14*$E14*$P$7</f>
        <v>0</v>
      </c>
      <c r="O14" s="258" t="e">
        <f>N14/(F14*$P$7)</f>
        <v>#DIV/0!</v>
      </c>
    </row>
    <row r="15" spans="1:16" ht="25.2" customHeight="1">
      <c r="A15" s="255"/>
      <c r="B15" s="144"/>
      <c r="C15" s="143"/>
      <c r="D15" s="256"/>
      <c r="E15" s="256"/>
      <c r="F15" s="257"/>
      <c r="G15" s="240"/>
      <c r="H15" s="239"/>
      <c r="I15" s="240"/>
      <c r="J15" s="239"/>
      <c r="K15" s="240"/>
      <c r="L15" s="239"/>
      <c r="M15" s="240"/>
      <c r="N15" s="239"/>
      <c r="O15" s="258"/>
    </row>
    <row r="16" spans="1:16" ht="25.2" customHeight="1">
      <c r="A16" s="255"/>
      <c r="B16" s="142"/>
      <c r="C16" s="143"/>
      <c r="D16" s="256">
        <f>'Sch3. (A)'!D16:D17</f>
        <v>0</v>
      </c>
      <c r="E16" s="256">
        <f>'Sch3. (A)'!E16:E17</f>
        <v>0</v>
      </c>
      <c r="F16" s="257">
        <f t="shared" ref="F16" si="2">D16*E16</f>
        <v>0</v>
      </c>
      <c r="G16" s="240">
        <f>'Sch3. (A)'!G16:G17</f>
        <v>0</v>
      </c>
      <c r="H16" s="239">
        <f>G16*$E16*$P$7</f>
        <v>0</v>
      </c>
      <c r="I16" s="240">
        <f t="shared" ref="I16:I18" si="3">K16-G16</f>
        <v>0</v>
      </c>
      <c r="J16" s="239">
        <f>I16*$E16*$P$7</f>
        <v>0</v>
      </c>
      <c r="K16" s="240">
        <f>'Sch3. (A)'!K16:K17</f>
        <v>0</v>
      </c>
      <c r="L16" s="239">
        <f>K16*$E16*$P$7</f>
        <v>0</v>
      </c>
      <c r="M16" s="240">
        <f t="shared" ref="M16:M18" si="4">D16-$K16</f>
        <v>0</v>
      </c>
      <c r="N16" s="239">
        <f>M16*$E16*$P$7</f>
        <v>0</v>
      </c>
      <c r="O16" s="258" t="e">
        <f>N16/(F16*$P$7)</f>
        <v>#DIV/0!</v>
      </c>
    </row>
    <row r="17" spans="1:15" ht="25.2" customHeight="1">
      <c r="A17" s="255"/>
      <c r="B17" s="144"/>
      <c r="C17" s="143"/>
      <c r="D17" s="256"/>
      <c r="E17" s="256"/>
      <c r="F17" s="257"/>
      <c r="G17" s="240"/>
      <c r="H17" s="239"/>
      <c r="I17" s="240"/>
      <c r="J17" s="239"/>
      <c r="K17" s="240"/>
      <c r="L17" s="239"/>
      <c r="M17" s="240"/>
      <c r="N17" s="239"/>
      <c r="O17" s="258"/>
    </row>
    <row r="18" spans="1:15" ht="25.2" customHeight="1">
      <c r="A18" s="255"/>
      <c r="B18" s="142"/>
      <c r="C18" s="143"/>
      <c r="D18" s="256">
        <f>'Sch3. (A)'!D18:D19</f>
        <v>0</v>
      </c>
      <c r="E18" s="256">
        <f>'Sch3. (A)'!E18:E19</f>
        <v>0</v>
      </c>
      <c r="F18" s="257">
        <f t="shared" ref="F18" si="5">D18*E18</f>
        <v>0</v>
      </c>
      <c r="G18" s="240">
        <f>'Sch3. (A)'!G18:G19</f>
        <v>0</v>
      </c>
      <c r="H18" s="239">
        <f>G18*$E18*$P$7</f>
        <v>0</v>
      </c>
      <c r="I18" s="240">
        <f t="shared" si="3"/>
        <v>0</v>
      </c>
      <c r="J18" s="239">
        <f>I18*$E18*$P$7</f>
        <v>0</v>
      </c>
      <c r="K18" s="240">
        <f>'Sch3. (A)'!K18:K19</f>
        <v>0</v>
      </c>
      <c r="L18" s="239">
        <f>K18*$E18*$P$7</f>
        <v>0</v>
      </c>
      <c r="M18" s="240">
        <f t="shared" si="4"/>
        <v>0</v>
      </c>
      <c r="N18" s="239">
        <f>M18*$E18*$P$7</f>
        <v>0</v>
      </c>
      <c r="O18" s="258" t="e">
        <f>N18/(F18*$P$7)</f>
        <v>#DIV/0!</v>
      </c>
    </row>
    <row r="19" spans="1:15" ht="25.2" customHeight="1">
      <c r="A19" s="255"/>
      <c r="B19" s="144"/>
      <c r="C19" s="143"/>
      <c r="D19" s="256"/>
      <c r="E19" s="256"/>
      <c r="F19" s="257"/>
      <c r="G19" s="240"/>
      <c r="H19" s="239"/>
      <c r="I19" s="240"/>
      <c r="J19" s="239"/>
      <c r="K19" s="240"/>
      <c r="L19" s="239"/>
      <c r="M19" s="240"/>
      <c r="N19" s="239"/>
      <c r="O19" s="258"/>
    </row>
    <row r="20" spans="1:15" ht="30.9" customHeight="1">
      <c r="A20" s="145" t="s">
        <v>193</v>
      </c>
      <c r="B20" s="253" t="s">
        <v>180</v>
      </c>
      <c r="C20" s="253"/>
      <c r="D20" s="253"/>
      <c r="E20" s="253"/>
      <c r="F20" s="146">
        <f>SUM(F10:F19)</f>
        <v>0</v>
      </c>
      <c r="G20" s="145"/>
      <c r="H20" s="147">
        <f>SUM(H10:H19)</f>
        <v>0</v>
      </c>
      <c r="I20" s="145"/>
      <c r="J20" s="147">
        <f>SUM(J10:J19)</f>
        <v>0</v>
      </c>
      <c r="K20" s="145"/>
      <c r="L20" s="147">
        <f>SUM(L10:L19)</f>
        <v>0</v>
      </c>
      <c r="M20" s="145"/>
      <c r="N20" s="147">
        <f>SUM(N10:N19)</f>
        <v>0</v>
      </c>
      <c r="O20" s="148" t="e">
        <f>N20/F20</f>
        <v>#DIV/0!</v>
      </c>
    </row>
  </sheetData>
  <mergeCells count="79">
    <mergeCell ref="N18:N19"/>
    <mergeCell ref="O18:O19"/>
    <mergeCell ref="B20:E20"/>
    <mergeCell ref="H18:H19"/>
    <mergeCell ref="I18:I19"/>
    <mergeCell ref="J18:J19"/>
    <mergeCell ref="K18:K19"/>
    <mergeCell ref="L18:L19"/>
    <mergeCell ref="M18:M19"/>
    <mergeCell ref="K16:K17"/>
    <mergeCell ref="L16:L17"/>
    <mergeCell ref="M16:M17"/>
    <mergeCell ref="N16:N17"/>
    <mergeCell ref="O16:O17"/>
    <mergeCell ref="A18:A19"/>
    <mergeCell ref="D18:D19"/>
    <mergeCell ref="E18:E19"/>
    <mergeCell ref="F18:F19"/>
    <mergeCell ref="G18:G19"/>
    <mergeCell ref="N12:N13"/>
    <mergeCell ref="O12:O13"/>
    <mergeCell ref="N14:N15"/>
    <mergeCell ref="O14:O15"/>
    <mergeCell ref="A16:A17"/>
    <mergeCell ref="D16:D17"/>
    <mergeCell ref="E16:E17"/>
    <mergeCell ref="F16:F17"/>
    <mergeCell ref="G16:G17"/>
    <mergeCell ref="H16:H17"/>
    <mergeCell ref="I16:I17"/>
    <mergeCell ref="J16:J17"/>
    <mergeCell ref="H14:H15"/>
    <mergeCell ref="I14:I15"/>
    <mergeCell ref="J14:J15"/>
    <mergeCell ref="K14:K15"/>
    <mergeCell ref="M10:M11"/>
    <mergeCell ref="A14:A15"/>
    <mergeCell ref="D14:D15"/>
    <mergeCell ref="E14:E15"/>
    <mergeCell ref="F14:F15"/>
    <mergeCell ref="G14:G15"/>
    <mergeCell ref="K12:K13"/>
    <mergeCell ref="L12:L13"/>
    <mergeCell ref="M12:M13"/>
    <mergeCell ref="L14:L15"/>
    <mergeCell ref="M14:M15"/>
    <mergeCell ref="H12:H13"/>
    <mergeCell ref="I12:I13"/>
    <mergeCell ref="J12:J13"/>
    <mergeCell ref="H10:H11"/>
    <mergeCell ref="I10:I11"/>
    <mergeCell ref="J10:J11"/>
    <mergeCell ref="A12:A13"/>
    <mergeCell ref="D12:D13"/>
    <mergeCell ref="E12:E13"/>
    <mergeCell ref="F12:F13"/>
    <mergeCell ref="G12:G13"/>
    <mergeCell ref="G10:G11"/>
    <mergeCell ref="A5:O5"/>
    <mergeCell ref="A6:A7"/>
    <mergeCell ref="G6:H6"/>
    <mergeCell ref="I6:J6"/>
    <mergeCell ref="K6:L6"/>
    <mergeCell ref="M6:N6"/>
    <mergeCell ref="B8:F8"/>
    <mergeCell ref="A10:A11"/>
    <mergeCell ref="D10:D11"/>
    <mergeCell ref="E10:E11"/>
    <mergeCell ref="F10:F11"/>
    <mergeCell ref="N10:N11"/>
    <mergeCell ref="O10:O11"/>
    <mergeCell ref="K10:K11"/>
    <mergeCell ref="L10:L11"/>
    <mergeCell ref="B1:O1"/>
    <mergeCell ref="B2:O2"/>
    <mergeCell ref="B3:O3"/>
    <mergeCell ref="B4:C4"/>
    <mergeCell ref="I4:L4"/>
    <mergeCell ref="M4:O4"/>
  </mergeCells>
  <printOptions horizontalCentered="1"/>
  <pageMargins left="0.31388888888888899" right="0.2" top="0.94374999999999998" bottom="0.35416666666666702" header="0.297916666666667" footer="0.118055555555556"/>
  <pageSetup paperSize="9" scale="41" fitToHeight="0" orientation="landscape" r:id="rId1"/>
  <headerFooter scaleWithDoc="0" alignWithMargins="0">
    <oddHeader>&amp;C&amp;G</oddHead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-0.249977111117893"/>
    <pageSetUpPr fitToPage="1"/>
  </sheetPr>
  <dimension ref="A1:P247"/>
  <sheetViews>
    <sheetView view="pageBreakPreview" zoomScale="55" zoomScaleNormal="70" zoomScaleSheetLayoutView="55" workbookViewId="0">
      <pane xSplit="6" ySplit="9" topLeftCell="G10" activePane="bottomRight" state="frozen"/>
      <selection activeCell="D18" sqref="D18"/>
      <selection pane="topRight" activeCell="D18" sqref="D18"/>
      <selection pane="bottomLeft" activeCell="D18" sqref="D18"/>
      <selection pane="bottomRight" activeCell="D18" sqref="D18"/>
    </sheetView>
  </sheetViews>
  <sheetFormatPr defaultColWidth="9.109375" defaultRowHeight="35.1" customHeight="1"/>
  <cols>
    <col min="1" max="1" width="15.6640625" style="1" customWidth="1"/>
    <col min="2" max="2" width="100.6640625" style="1" customWidth="1"/>
    <col min="3" max="3" width="15.6640625" style="1" customWidth="1"/>
    <col min="4" max="4" width="20.6640625" style="1" customWidth="1"/>
    <col min="5" max="5" width="15.6640625" style="1" customWidth="1"/>
    <col min="6" max="6" width="20.6640625" style="1" customWidth="1"/>
    <col min="7" max="7" width="14.33203125" style="1" customWidth="1"/>
    <col min="8" max="8" width="16.33203125" style="1" customWidth="1"/>
    <col min="9" max="9" width="13" style="1" customWidth="1"/>
    <col min="10" max="10" width="14.33203125" style="1" customWidth="1"/>
    <col min="11" max="11" width="23.33203125" style="1" customWidth="1"/>
    <col min="12" max="12" width="15.5546875" style="1" customWidth="1"/>
    <col min="13" max="13" width="12" style="1" customWidth="1"/>
    <col min="14" max="14" width="14.88671875" style="1" customWidth="1"/>
    <col min="15" max="15" width="19.33203125" style="1" customWidth="1"/>
    <col min="16" max="16" width="12.6640625" style="1" customWidth="1"/>
    <col min="17" max="17" width="17.44140625" style="1" customWidth="1"/>
    <col min="18" max="16384" width="9.109375" style="1"/>
  </cols>
  <sheetData>
    <row r="1" spans="1:16" ht="33" customHeight="1">
      <c r="A1" s="149"/>
      <c r="B1" s="262" t="str">
        <f>'Bill Summary'!B1:O1</f>
        <v xml:space="preserve">Name of a project /  Название котракту             </v>
      </c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3"/>
    </row>
    <row r="2" spans="1:16" ht="79.5" customHeight="1">
      <c r="A2" s="149"/>
      <c r="B2" s="262" t="str">
        <f>'Bill Summary'!B2:O2</f>
        <v>Contract identifier / 
Идентификатор контракта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3"/>
    </row>
    <row r="3" spans="1:16" ht="27" customHeight="1">
      <c r="A3" s="149"/>
      <c r="B3" s="262" t="str">
        <f>'Bill Summary'!B3:J3</f>
        <v>IPC #   / СПП № #</v>
      </c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3"/>
    </row>
    <row r="4" spans="1:16" ht="27" customHeight="1">
      <c r="A4" s="149"/>
      <c r="B4" s="227" t="str">
        <f>'Bill Summary'!B4:C4</f>
        <v>Start of Works/ Начало работ :  DD.MM.YYYY</v>
      </c>
      <c r="C4" s="227"/>
      <c r="D4" s="150"/>
      <c r="E4" s="151"/>
      <c r="F4" s="151"/>
      <c r="G4" s="150"/>
      <c r="H4" s="151"/>
      <c r="I4" s="264" t="s">
        <v>48</v>
      </c>
      <c r="J4" s="264"/>
      <c r="K4" s="264"/>
      <c r="L4" s="264"/>
      <c r="M4" s="264" t="str">
        <f>'Cover of IPC '!D7</f>
        <v>DD.MM.YYYY - DD.MM.YYYY</v>
      </c>
      <c r="N4" s="264"/>
      <c r="O4" s="265"/>
    </row>
    <row r="5" spans="1:16" ht="26.25" customHeight="1">
      <c r="A5" s="259" t="s">
        <v>251</v>
      </c>
      <c r="B5" s="259"/>
      <c r="C5" s="259"/>
      <c r="D5" s="259"/>
      <c r="E5" s="259"/>
      <c r="F5" s="259"/>
      <c r="G5" s="259"/>
      <c r="H5" s="259"/>
      <c r="I5" s="259"/>
      <c r="J5" s="259"/>
      <c r="K5" s="259"/>
      <c r="L5" s="259"/>
      <c r="M5" s="259"/>
      <c r="N5" s="259"/>
      <c r="O5" s="260"/>
    </row>
    <row r="6" spans="1:16" ht="69.75" customHeight="1">
      <c r="A6" s="253" t="s">
        <v>185</v>
      </c>
      <c r="B6" s="152" t="s">
        <v>140</v>
      </c>
      <c r="C6" s="152" t="s">
        <v>141</v>
      </c>
      <c r="D6" s="153" t="s">
        <v>142</v>
      </c>
      <c r="E6" s="154" t="s">
        <v>143</v>
      </c>
      <c r="F6" s="154" t="s">
        <v>144</v>
      </c>
      <c r="G6" s="261" t="s">
        <v>145</v>
      </c>
      <c r="H6" s="261"/>
      <c r="I6" s="261" t="s">
        <v>146</v>
      </c>
      <c r="J6" s="261"/>
      <c r="K6" s="261" t="s">
        <v>147</v>
      </c>
      <c r="L6" s="261"/>
      <c r="M6" s="261" t="s">
        <v>148</v>
      </c>
      <c r="N6" s="261"/>
      <c r="O6" s="155" t="s">
        <v>149</v>
      </c>
    </row>
    <row r="7" spans="1:16" ht="49.95" customHeight="1">
      <c r="A7" s="253"/>
      <c r="B7" s="153" t="s">
        <v>152</v>
      </c>
      <c r="C7" s="156" t="s">
        <v>153</v>
      </c>
      <c r="D7" s="156" t="s">
        <v>154</v>
      </c>
      <c r="E7" s="157" t="s">
        <v>155</v>
      </c>
      <c r="F7" s="157" t="s">
        <v>156</v>
      </c>
      <c r="G7" s="158" t="s">
        <v>158</v>
      </c>
      <c r="H7" s="158" t="s">
        <v>159</v>
      </c>
      <c r="I7" s="158" t="s">
        <v>158</v>
      </c>
      <c r="J7" s="158" t="s">
        <v>159</v>
      </c>
      <c r="K7" s="158" t="s">
        <v>158</v>
      </c>
      <c r="L7" s="158" t="s">
        <v>159</v>
      </c>
      <c r="M7" s="158" t="s">
        <v>158</v>
      </c>
      <c r="N7" s="158" t="s">
        <v>159</v>
      </c>
      <c r="O7" s="155" t="s">
        <v>63</v>
      </c>
      <c r="P7" s="159">
        <v>1</v>
      </c>
    </row>
    <row r="8" spans="1:16" ht="25.2" customHeight="1">
      <c r="A8" s="160"/>
      <c r="B8" s="266"/>
      <c r="C8" s="266"/>
      <c r="D8" s="267"/>
      <c r="E8" s="266"/>
      <c r="F8" s="266"/>
      <c r="G8" s="267"/>
      <c r="H8" s="266"/>
      <c r="I8" s="267"/>
      <c r="J8" s="266"/>
      <c r="K8" s="267"/>
      <c r="L8" s="266"/>
      <c r="M8" s="267"/>
      <c r="N8" s="266"/>
      <c r="O8" s="268"/>
    </row>
    <row r="9" spans="1:16" ht="46.8" customHeight="1">
      <c r="A9" s="160"/>
      <c r="B9" s="161"/>
      <c r="C9" s="161"/>
      <c r="D9" s="199" t="s">
        <v>252</v>
      </c>
      <c r="E9" s="199" t="s">
        <v>253</v>
      </c>
      <c r="F9" s="161" t="s">
        <v>161</v>
      </c>
      <c r="G9" s="199" t="s">
        <v>254</v>
      </c>
      <c r="H9" s="161" t="s">
        <v>186</v>
      </c>
      <c r="I9" s="161" t="s">
        <v>187</v>
      </c>
      <c r="J9" s="161" t="s">
        <v>188</v>
      </c>
      <c r="K9" s="199" t="s">
        <v>255</v>
      </c>
      <c r="L9" s="161" t="s">
        <v>189</v>
      </c>
      <c r="M9" s="161" t="s">
        <v>206</v>
      </c>
      <c r="N9" s="161" t="s">
        <v>191</v>
      </c>
      <c r="O9" s="162" t="s">
        <v>192</v>
      </c>
    </row>
    <row r="10" spans="1:16" ht="29.1" customHeight="1">
      <c r="A10" s="269"/>
      <c r="B10" s="163"/>
      <c r="C10" s="164"/>
      <c r="D10" s="270">
        <f>'Sch4. (A)'!D10:D11</f>
        <v>0</v>
      </c>
      <c r="E10" s="270">
        <f>'Sch4. (A)'!E10:E11</f>
        <v>0</v>
      </c>
      <c r="F10" s="271">
        <f>D10*E10</f>
        <v>0</v>
      </c>
      <c r="G10" s="272">
        <f>'Sch4. (A)'!G10:G11</f>
        <v>0</v>
      </c>
      <c r="H10" s="273">
        <f t="shared" ref="H10:H15" si="0">G10*$E10*$P$7</f>
        <v>0</v>
      </c>
      <c r="I10" s="272">
        <f t="shared" ref="I10:I15" si="1">K10-G10</f>
        <v>0</v>
      </c>
      <c r="J10" s="273">
        <f t="shared" ref="J10:J15" si="2">I10*$E10*$P$7</f>
        <v>0</v>
      </c>
      <c r="K10" s="272">
        <f>'Sch4. (A)'!K10:K11</f>
        <v>0</v>
      </c>
      <c r="L10" s="273">
        <f t="shared" ref="L10:L15" si="3">K10*$E10*$P$7</f>
        <v>0</v>
      </c>
      <c r="M10" s="272">
        <f t="shared" ref="M10:M15" si="4">D10-$K10</f>
        <v>0</v>
      </c>
      <c r="N10" s="273">
        <f t="shared" ref="N10:N15" si="5">M10*$E10*$P$7</f>
        <v>0</v>
      </c>
      <c r="O10" s="274" t="e">
        <f t="shared" ref="O10:O15" si="6">N10/(F10*$P$7)</f>
        <v>#DIV/0!</v>
      </c>
    </row>
    <row r="11" spans="1:16" ht="39" customHeight="1">
      <c r="A11" s="269"/>
      <c r="B11" s="163"/>
      <c r="C11" s="165"/>
      <c r="D11" s="270"/>
      <c r="E11" s="270"/>
      <c r="F11" s="271"/>
      <c r="G11" s="272"/>
      <c r="H11" s="273"/>
      <c r="I11" s="272"/>
      <c r="J11" s="273"/>
      <c r="K11" s="272"/>
      <c r="L11" s="273"/>
      <c r="M11" s="272"/>
      <c r="N11" s="273"/>
      <c r="O11" s="274"/>
    </row>
    <row r="12" spans="1:16" ht="25.2" customHeight="1">
      <c r="A12" s="269"/>
      <c r="B12" s="163"/>
      <c r="C12" s="164"/>
      <c r="D12" s="270">
        <f>'Sch4. (A)'!D12:D13</f>
        <v>0</v>
      </c>
      <c r="E12" s="270">
        <f>'Sch4. (A)'!E12:E13</f>
        <v>0</v>
      </c>
      <c r="F12" s="271">
        <f>D12*E12</f>
        <v>0</v>
      </c>
      <c r="G12" s="272">
        <f>'Sch4. (A)'!G12:G13</f>
        <v>0</v>
      </c>
      <c r="H12" s="273">
        <f t="shared" si="0"/>
        <v>0</v>
      </c>
      <c r="I12" s="272">
        <f t="shared" si="1"/>
        <v>0</v>
      </c>
      <c r="J12" s="273">
        <f t="shared" si="2"/>
        <v>0</v>
      </c>
      <c r="K12" s="272">
        <f>'Sch4. (A)'!K12:K13</f>
        <v>0</v>
      </c>
      <c r="L12" s="273">
        <f t="shared" si="3"/>
        <v>0</v>
      </c>
      <c r="M12" s="272">
        <f t="shared" si="4"/>
        <v>0</v>
      </c>
      <c r="N12" s="273">
        <f t="shared" si="5"/>
        <v>0</v>
      </c>
      <c r="O12" s="274" t="e">
        <f t="shared" si="6"/>
        <v>#DIV/0!</v>
      </c>
    </row>
    <row r="13" spans="1:16" ht="25.2" customHeight="1">
      <c r="A13" s="269"/>
      <c r="B13" s="163"/>
      <c r="C13" s="165"/>
      <c r="D13" s="270"/>
      <c r="E13" s="270"/>
      <c r="F13" s="271"/>
      <c r="G13" s="272"/>
      <c r="H13" s="273"/>
      <c r="I13" s="272"/>
      <c r="J13" s="273"/>
      <c r="K13" s="272"/>
      <c r="L13" s="273"/>
      <c r="M13" s="272"/>
      <c r="N13" s="273"/>
      <c r="O13" s="274"/>
    </row>
    <row r="14" spans="1:16" ht="25.2" customHeight="1">
      <c r="A14" s="160"/>
      <c r="B14" s="266"/>
      <c r="C14" s="266"/>
      <c r="D14" s="267"/>
      <c r="E14" s="266"/>
      <c r="F14" s="266"/>
      <c r="G14" s="166"/>
      <c r="H14" s="167"/>
      <c r="I14" s="166"/>
      <c r="J14" s="167"/>
      <c r="K14" s="166"/>
      <c r="L14" s="167"/>
      <c r="M14" s="166"/>
      <c r="N14" s="167"/>
      <c r="O14" s="168"/>
    </row>
    <row r="15" spans="1:16" ht="45.9" customHeight="1">
      <c r="A15" s="269"/>
      <c r="B15" s="163"/>
      <c r="C15" s="164"/>
      <c r="D15" s="270">
        <f>'Sch4. (A)'!D15:D16</f>
        <v>0</v>
      </c>
      <c r="E15" s="270">
        <f>'Sch4. (A)'!E15:E16</f>
        <v>0</v>
      </c>
      <c r="F15" s="271">
        <f>D15*E15</f>
        <v>0</v>
      </c>
      <c r="G15" s="272">
        <f>'Sch4. (A)'!G15:G16</f>
        <v>0</v>
      </c>
      <c r="H15" s="273">
        <f t="shared" si="0"/>
        <v>0</v>
      </c>
      <c r="I15" s="272">
        <f t="shared" si="1"/>
        <v>0</v>
      </c>
      <c r="J15" s="273">
        <f t="shared" si="2"/>
        <v>0</v>
      </c>
      <c r="K15" s="272">
        <f>'Sch4. (A)'!K15:K16</f>
        <v>0</v>
      </c>
      <c r="L15" s="273">
        <f t="shared" si="3"/>
        <v>0</v>
      </c>
      <c r="M15" s="272">
        <f t="shared" si="4"/>
        <v>0</v>
      </c>
      <c r="N15" s="273">
        <f t="shared" si="5"/>
        <v>0</v>
      </c>
      <c r="O15" s="274" t="e">
        <f t="shared" si="6"/>
        <v>#DIV/0!</v>
      </c>
    </row>
    <row r="16" spans="1:16" ht="45.9" customHeight="1">
      <c r="A16" s="269"/>
      <c r="B16" s="163"/>
      <c r="C16" s="165"/>
      <c r="D16" s="270"/>
      <c r="E16" s="270"/>
      <c r="F16" s="271"/>
      <c r="G16" s="272"/>
      <c r="H16" s="273"/>
      <c r="I16" s="272"/>
      <c r="J16" s="273"/>
      <c r="K16" s="272"/>
      <c r="L16" s="273"/>
      <c r="M16" s="272"/>
      <c r="N16" s="273"/>
      <c r="O16" s="274"/>
    </row>
    <row r="17" spans="1:15" ht="35.1" customHeight="1">
      <c r="A17" s="269"/>
      <c r="B17" s="163"/>
      <c r="C17" s="164"/>
      <c r="D17" s="270">
        <f>'Sch4. (A)'!D17:D18</f>
        <v>0</v>
      </c>
      <c r="E17" s="270">
        <f>'Sch4. (A)'!E17:E18</f>
        <v>0</v>
      </c>
      <c r="F17" s="271">
        <f t="shared" ref="F17" si="7">D17*E17</f>
        <v>0</v>
      </c>
      <c r="G17" s="272">
        <f>'Sch4. (A)'!G17:G18</f>
        <v>0</v>
      </c>
      <c r="H17" s="273">
        <f>G17*$E17*$P$7</f>
        <v>0</v>
      </c>
      <c r="I17" s="272">
        <f>K17-G17</f>
        <v>0</v>
      </c>
      <c r="J17" s="273">
        <f>I17*$E17*$P$7</f>
        <v>0</v>
      </c>
      <c r="K17" s="272">
        <f>'Sch4. (A)'!K17:K18</f>
        <v>0</v>
      </c>
      <c r="L17" s="273">
        <f>K17*$E17*$P$7</f>
        <v>0</v>
      </c>
      <c r="M17" s="272">
        <f>D17-$K17</f>
        <v>0</v>
      </c>
      <c r="N17" s="273">
        <f>M17*$E17*$P$7</f>
        <v>0</v>
      </c>
      <c r="O17" s="274" t="e">
        <f>N17/(F17*$P$7)</f>
        <v>#DIV/0!</v>
      </c>
    </row>
    <row r="18" spans="1:15" ht="42" customHeight="1">
      <c r="A18" s="269"/>
      <c r="B18" s="163"/>
      <c r="C18" s="165"/>
      <c r="D18" s="270"/>
      <c r="E18" s="270"/>
      <c r="F18" s="271"/>
      <c r="G18" s="272"/>
      <c r="H18" s="273"/>
      <c r="I18" s="272"/>
      <c r="J18" s="273"/>
      <c r="K18" s="272"/>
      <c r="L18" s="273"/>
      <c r="M18" s="272"/>
      <c r="N18" s="273"/>
      <c r="O18" s="274"/>
    </row>
    <row r="19" spans="1:15" ht="49.95" customHeight="1">
      <c r="A19" s="269"/>
      <c r="B19" s="163"/>
      <c r="C19" s="164"/>
      <c r="D19" s="270">
        <f>'Sch4. (A)'!D19:D20</f>
        <v>0</v>
      </c>
      <c r="E19" s="270">
        <f>'Sch4. (A)'!E19:E20</f>
        <v>0</v>
      </c>
      <c r="F19" s="271">
        <f t="shared" ref="F19" si="8">D19*E19</f>
        <v>0</v>
      </c>
      <c r="G19" s="272">
        <f>'Sch4. (A)'!G19:G20</f>
        <v>0</v>
      </c>
      <c r="H19" s="273">
        <f>G19*$E19*$P$7</f>
        <v>0</v>
      </c>
      <c r="I19" s="272">
        <f>K19-G19</f>
        <v>0</v>
      </c>
      <c r="J19" s="273">
        <f>I19*$E19*$P$7</f>
        <v>0</v>
      </c>
      <c r="K19" s="272">
        <f>'Sch4. (A)'!K19:K20</f>
        <v>0</v>
      </c>
      <c r="L19" s="273">
        <f>K19*$E19*$P$7</f>
        <v>0</v>
      </c>
      <c r="M19" s="272">
        <f>D19-$K19</f>
        <v>0</v>
      </c>
      <c r="N19" s="273">
        <f>M19*$E19*$P$7</f>
        <v>0</v>
      </c>
      <c r="O19" s="274" t="e">
        <f>N19/(F19*$P$7)</f>
        <v>#DIV/0!</v>
      </c>
    </row>
    <row r="20" spans="1:15" ht="49.95" customHeight="1">
      <c r="A20" s="269"/>
      <c r="B20" s="171"/>
      <c r="C20" s="165"/>
      <c r="D20" s="270"/>
      <c r="E20" s="270"/>
      <c r="F20" s="271"/>
      <c r="G20" s="272"/>
      <c r="H20" s="273"/>
      <c r="I20" s="272"/>
      <c r="J20" s="273"/>
      <c r="K20" s="272"/>
      <c r="L20" s="273"/>
      <c r="M20" s="272"/>
      <c r="N20" s="273"/>
      <c r="O20" s="274"/>
    </row>
    <row r="21" spans="1:15" ht="49.95" customHeight="1">
      <c r="A21" s="269"/>
      <c r="B21" s="163"/>
      <c r="C21" s="164"/>
      <c r="D21" s="270">
        <f>'Sch4. (A)'!D21:D22</f>
        <v>0</v>
      </c>
      <c r="E21" s="270">
        <f>'Sch4. (A)'!E21:E22</f>
        <v>0</v>
      </c>
      <c r="F21" s="271">
        <f t="shared" ref="F21" si="9">D21*E21</f>
        <v>0</v>
      </c>
      <c r="G21" s="272">
        <f>'Sch4. (A)'!G21:G22</f>
        <v>0</v>
      </c>
      <c r="H21" s="273">
        <f>G21*$E21*$P$7</f>
        <v>0</v>
      </c>
      <c r="I21" s="272">
        <f>K21-G21</f>
        <v>0</v>
      </c>
      <c r="J21" s="273">
        <f>I21*$E21*$P$7</f>
        <v>0</v>
      </c>
      <c r="K21" s="272">
        <f>'Sch4. (A)'!K21:K22</f>
        <v>0</v>
      </c>
      <c r="L21" s="273">
        <f>K21*$E21*$P$7</f>
        <v>0</v>
      </c>
      <c r="M21" s="272">
        <f>D21-$K21</f>
        <v>0</v>
      </c>
      <c r="N21" s="273">
        <f>M21*$E21*$P$7</f>
        <v>0</v>
      </c>
      <c r="O21" s="274" t="e">
        <f>N21/(F21*$P$7)</f>
        <v>#DIV/0!</v>
      </c>
    </row>
    <row r="22" spans="1:15" ht="49.95" customHeight="1">
      <c r="A22" s="269"/>
      <c r="B22" s="171"/>
      <c r="C22" s="165"/>
      <c r="D22" s="270"/>
      <c r="E22" s="270"/>
      <c r="F22" s="271"/>
      <c r="G22" s="272"/>
      <c r="H22" s="273"/>
      <c r="I22" s="272"/>
      <c r="J22" s="273"/>
      <c r="K22" s="272"/>
      <c r="L22" s="273"/>
      <c r="M22" s="272"/>
      <c r="N22" s="273"/>
      <c r="O22" s="274"/>
    </row>
    <row r="23" spans="1:15" ht="38.1" customHeight="1">
      <c r="A23" s="269"/>
      <c r="B23" s="163"/>
      <c r="C23" s="164"/>
      <c r="D23" s="270">
        <f>'Sch4. (A)'!D23:D24</f>
        <v>0</v>
      </c>
      <c r="E23" s="270">
        <f>'Sch4. (A)'!E23:E24</f>
        <v>0</v>
      </c>
      <c r="F23" s="271">
        <f t="shared" ref="F23" si="10">D23*E23</f>
        <v>0</v>
      </c>
      <c r="G23" s="272">
        <f>'Sch4. (A)'!G23:G24</f>
        <v>0</v>
      </c>
      <c r="H23" s="273">
        <f>G23*$E23*$P$7</f>
        <v>0</v>
      </c>
      <c r="I23" s="272">
        <f>K23-G23</f>
        <v>0</v>
      </c>
      <c r="J23" s="273">
        <f>I23*$E23*$P$7</f>
        <v>0</v>
      </c>
      <c r="K23" s="272">
        <f>'Sch4. (A)'!K23:K24</f>
        <v>0</v>
      </c>
      <c r="L23" s="273">
        <f>K23*$E23*$P$7</f>
        <v>0</v>
      </c>
      <c r="M23" s="272">
        <f>D23-$K23</f>
        <v>0</v>
      </c>
      <c r="N23" s="273">
        <f>M23*$E23*$P$7</f>
        <v>0</v>
      </c>
      <c r="O23" s="274" t="e">
        <f>N23/(F23*$P$7)</f>
        <v>#DIV/0!</v>
      </c>
    </row>
    <row r="24" spans="1:15" ht="49.95" customHeight="1">
      <c r="A24" s="269"/>
      <c r="B24" s="163"/>
      <c r="C24" s="165"/>
      <c r="D24" s="270"/>
      <c r="E24" s="270"/>
      <c r="F24" s="271"/>
      <c r="G24" s="272"/>
      <c r="H24" s="273"/>
      <c r="I24" s="272"/>
      <c r="J24" s="273"/>
      <c r="K24" s="272"/>
      <c r="L24" s="273"/>
      <c r="M24" s="272"/>
      <c r="N24" s="273"/>
      <c r="O24" s="274"/>
    </row>
    <row r="25" spans="1:15" ht="42" customHeight="1">
      <c r="A25" s="269"/>
      <c r="B25" s="163"/>
      <c r="C25" s="164"/>
      <c r="D25" s="270">
        <f>'Sch4. (A)'!D25:D26</f>
        <v>0</v>
      </c>
      <c r="E25" s="270">
        <f>'Sch4. (A)'!E25:E26</f>
        <v>0</v>
      </c>
      <c r="F25" s="271">
        <f t="shared" ref="F25" si="11">D25*E25</f>
        <v>0</v>
      </c>
      <c r="G25" s="272">
        <f>'Sch4. (A)'!G25:G26</f>
        <v>0</v>
      </c>
      <c r="H25" s="273">
        <f>G25*$E25*$P$7</f>
        <v>0</v>
      </c>
      <c r="I25" s="272">
        <f>K25-G25</f>
        <v>0</v>
      </c>
      <c r="J25" s="273">
        <f>I25*$E25*$P$7</f>
        <v>0</v>
      </c>
      <c r="K25" s="272">
        <f>'Sch4. (A)'!K25:K26</f>
        <v>0</v>
      </c>
      <c r="L25" s="273">
        <f>K25*$E25*$P$7</f>
        <v>0</v>
      </c>
      <c r="M25" s="272">
        <f>D25-$K25</f>
        <v>0</v>
      </c>
      <c r="N25" s="273">
        <f>M25*$E25*$P$7</f>
        <v>0</v>
      </c>
      <c r="O25" s="274" t="e">
        <f>N25/(F25*$P$7)</f>
        <v>#DIV/0!</v>
      </c>
    </row>
    <row r="26" spans="1:15" ht="49.95" customHeight="1">
      <c r="A26" s="269"/>
      <c r="B26" s="163"/>
      <c r="C26" s="165"/>
      <c r="D26" s="270"/>
      <c r="E26" s="270"/>
      <c r="F26" s="271"/>
      <c r="G26" s="272"/>
      <c r="H26" s="273"/>
      <c r="I26" s="272"/>
      <c r="J26" s="273"/>
      <c r="K26" s="272"/>
      <c r="L26" s="273"/>
      <c r="M26" s="272"/>
      <c r="N26" s="273"/>
      <c r="O26" s="274"/>
    </row>
    <row r="27" spans="1:15" ht="42.9" customHeight="1">
      <c r="A27" s="269"/>
      <c r="B27" s="163"/>
      <c r="C27" s="164"/>
      <c r="D27" s="270">
        <f>'Sch4. (A)'!D27:D28</f>
        <v>0</v>
      </c>
      <c r="E27" s="270">
        <f>'Sch4. (A)'!E27:E28</f>
        <v>0</v>
      </c>
      <c r="F27" s="271">
        <f t="shared" ref="F27" si="12">D27*E27</f>
        <v>0</v>
      </c>
      <c r="G27" s="272">
        <f>'Sch4. (A)'!G27:G28</f>
        <v>0</v>
      </c>
      <c r="H27" s="273">
        <f>G27*$E27*$P$7</f>
        <v>0</v>
      </c>
      <c r="I27" s="272">
        <f>K27-G27</f>
        <v>0</v>
      </c>
      <c r="J27" s="273">
        <f>I27*$E27*$P$7</f>
        <v>0</v>
      </c>
      <c r="K27" s="272">
        <f>'Sch4. (A)'!K27:K28</f>
        <v>0</v>
      </c>
      <c r="L27" s="273">
        <f>K27*$E27*$P$7</f>
        <v>0</v>
      </c>
      <c r="M27" s="272">
        <f>D27-$K27</f>
        <v>0</v>
      </c>
      <c r="N27" s="273">
        <f>M27*$E27*$P$7</f>
        <v>0</v>
      </c>
      <c r="O27" s="274" t="e">
        <f>N27/(F27*$P$7)</f>
        <v>#DIV/0!</v>
      </c>
    </row>
    <row r="28" spans="1:15" ht="49.95" customHeight="1">
      <c r="A28" s="269"/>
      <c r="B28" s="163"/>
      <c r="C28" s="165"/>
      <c r="D28" s="270"/>
      <c r="E28" s="270"/>
      <c r="F28" s="271"/>
      <c r="G28" s="272"/>
      <c r="H28" s="273"/>
      <c r="I28" s="272"/>
      <c r="J28" s="273"/>
      <c r="K28" s="272"/>
      <c r="L28" s="273"/>
      <c r="M28" s="272"/>
      <c r="N28" s="273"/>
      <c r="O28" s="274"/>
    </row>
    <row r="29" spans="1:15" ht="39.9" customHeight="1">
      <c r="A29" s="269"/>
      <c r="B29" s="163"/>
      <c r="C29" s="164"/>
      <c r="D29" s="270">
        <f>'Sch4. (A)'!D29:D30</f>
        <v>0</v>
      </c>
      <c r="E29" s="270">
        <f>'Sch4. (A)'!E29:E30</f>
        <v>0</v>
      </c>
      <c r="F29" s="271">
        <f t="shared" ref="F29" si="13">D29*E29</f>
        <v>0</v>
      </c>
      <c r="G29" s="272">
        <f>'Sch4. (A)'!G29:G30</f>
        <v>0</v>
      </c>
      <c r="H29" s="273">
        <f>G29*$E29*$P$7</f>
        <v>0</v>
      </c>
      <c r="I29" s="272">
        <f>K29-G29</f>
        <v>0</v>
      </c>
      <c r="J29" s="273">
        <f>I29*$E29*$P$7</f>
        <v>0</v>
      </c>
      <c r="K29" s="272">
        <f>'Sch4. (A)'!K29:K30</f>
        <v>0</v>
      </c>
      <c r="L29" s="273">
        <f>K29*$E29*$P$7</f>
        <v>0</v>
      </c>
      <c r="M29" s="272">
        <f>D29-$K29</f>
        <v>0</v>
      </c>
      <c r="N29" s="273">
        <f>M29*$E29*$P$7</f>
        <v>0</v>
      </c>
      <c r="O29" s="274" t="e">
        <f>N29/(F29*$P$7)</f>
        <v>#DIV/0!</v>
      </c>
    </row>
    <row r="30" spans="1:15" ht="49.95" customHeight="1">
      <c r="A30" s="269"/>
      <c r="B30" s="163"/>
      <c r="C30" s="165"/>
      <c r="D30" s="270"/>
      <c r="E30" s="270"/>
      <c r="F30" s="271"/>
      <c r="G30" s="272"/>
      <c r="H30" s="273"/>
      <c r="I30" s="272"/>
      <c r="J30" s="273"/>
      <c r="K30" s="272"/>
      <c r="L30" s="273"/>
      <c r="M30" s="272"/>
      <c r="N30" s="273"/>
      <c r="O30" s="274"/>
    </row>
    <row r="31" spans="1:15" ht="39.9" customHeight="1">
      <c r="A31" s="269"/>
      <c r="B31" s="163"/>
      <c r="C31" s="164"/>
      <c r="D31" s="270">
        <f>'Sch4. (A)'!D31:D32</f>
        <v>0</v>
      </c>
      <c r="E31" s="270">
        <f>'Sch4. (A)'!E31:E32</f>
        <v>0</v>
      </c>
      <c r="F31" s="271">
        <f t="shared" ref="F31" si="14">D31*E31</f>
        <v>0</v>
      </c>
      <c r="G31" s="272">
        <f>'Sch4. (A)'!G31:G32</f>
        <v>0</v>
      </c>
      <c r="H31" s="273">
        <f>G31*$E31*$P$7</f>
        <v>0</v>
      </c>
      <c r="I31" s="272">
        <f>K31-G31</f>
        <v>0</v>
      </c>
      <c r="J31" s="273">
        <f>I31*$E31*$P$7</f>
        <v>0</v>
      </c>
      <c r="K31" s="272">
        <f>'Sch4. (A)'!K31:K32</f>
        <v>0</v>
      </c>
      <c r="L31" s="273">
        <f>K31*$E31*$P$7</f>
        <v>0</v>
      </c>
      <c r="M31" s="272">
        <f>D31-$K31</f>
        <v>0</v>
      </c>
      <c r="N31" s="273">
        <f>M31*$E31*$P$7</f>
        <v>0</v>
      </c>
      <c r="O31" s="274" t="e">
        <f>N31/(F31*$P$7)</f>
        <v>#DIV/0!</v>
      </c>
    </row>
    <row r="32" spans="1:15" ht="49.95" customHeight="1">
      <c r="A32" s="269"/>
      <c r="B32" s="163"/>
      <c r="C32" s="165"/>
      <c r="D32" s="270"/>
      <c r="E32" s="270"/>
      <c r="F32" s="271"/>
      <c r="G32" s="272"/>
      <c r="H32" s="273"/>
      <c r="I32" s="272"/>
      <c r="J32" s="273"/>
      <c r="K32" s="272"/>
      <c r="L32" s="273"/>
      <c r="M32" s="272"/>
      <c r="N32" s="273"/>
      <c r="O32" s="274"/>
    </row>
    <row r="33" spans="1:15" ht="35.1" customHeight="1">
      <c r="A33" s="172" t="s">
        <v>202</v>
      </c>
      <c r="B33" s="267" t="s">
        <v>180</v>
      </c>
      <c r="C33" s="267"/>
      <c r="D33" s="267"/>
      <c r="E33" s="267"/>
      <c r="F33" s="174">
        <f>SUM(F10:F32)</f>
        <v>0</v>
      </c>
      <c r="G33" s="166"/>
      <c r="H33" s="174">
        <f>SUM(H10:H32)</f>
        <v>0</v>
      </c>
      <c r="I33" s="166"/>
      <c r="J33" s="174">
        <f>SUM(J10:J32)</f>
        <v>0</v>
      </c>
      <c r="K33" s="166"/>
      <c r="L33" s="174">
        <f>SUM(L10:L32)</f>
        <v>0</v>
      </c>
      <c r="M33" s="166"/>
      <c r="N33" s="174">
        <f>SUM(N10:N32)</f>
        <v>0</v>
      </c>
      <c r="O33" s="175" t="e">
        <f>N33/F33</f>
        <v>#DIV/0!</v>
      </c>
    </row>
    <row r="34" spans="1:15" ht="25.2" customHeight="1">
      <c r="B34" s="176"/>
      <c r="D34" s="177"/>
      <c r="E34" s="178"/>
      <c r="F34" s="178"/>
    </row>
    <row r="35" spans="1:15" ht="25.2" customHeight="1">
      <c r="B35" s="176"/>
      <c r="D35" s="177"/>
      <c r="E35" s="178"/>
      <c r="F35" s="178"/>
    </row>
    <row r="36" spans="1:15" ht="25.2" customHeight="1">
      <c r="B36" s="176"/>
      <c r="D36" s="177"/>
      <c r="E36" s="178"/>
      <c r="F36" s="178"/>
    </row>
    <row r="37" spans="1:15" ht="25.2" customHeight="1">
      <c r="B37" s="176"/>
      <c r="D37" s="177"/>
      <c r="E37" s="178"/>
      <c r="F37" s="178"/>
    </row>
    <row r="38" spans="1:15" ht="25.2" customHeight="1">
      <c r="B38" s="176"/>
      <c r="D38" s="177"/>
      <c r="E38" s="178"/>
      <c r="F38" s="178"/>
    </row>
    <row r="39" spans="1:15" ht="25.2" customHeight="1">
      <c r="B39" s="176"/>
      <c r="D39" s="177"/>
      <c r="E39" s="178"/>
      <c r="F39" s="178"/>
    </row>
    <row r="40" spans="1:15" ht="25.2" customHeight="1">
      <c r="B40" s="176"/>
      <c r="D40" s="177"/>
      <c r="E40" s="178"/>
      <c r="F40" s="178"/>
    </row>
    <row r="41" spans="1:15" ht="25.2" customHeight="1">
      <c r="B41" s="176"/>
      <c r="D41" s="177"/>
      <c r="E41" s="178"/>
      <c r="F41" s="178"/>
    </row>
    <row r="42" spans="1:15" ht="25.2" customHeight="1">
      <c r="B42" s="176"/>
      <c r="D42" s="177"/>
      <c r="E42" s="178"/>
      <c r="F42" s="178"/>
    </row>
    <row r="43" spans="1:15" ht="25.2" customHeight="1">
      <c r="B43" s="176"/>
      <c r="D43" s="177"/>
      <c r="E43" s="178"/>
      <c r="F43" s="178"/>
    </row>
    <row r="44" spans="1:15" ht="25.2" customHeight="1">
      <c r="B44" s="176"/>
      <c r="D44" s="177"/>
      <c r="E44" s="178"/>
      <c r="F44" s="178"/>
    </row>
    <row r="45" spans="1:15" ht="25.2" customHeight="1">
      <c r="B45" s="176"/>
      <c r="D45" s="177"/>
      <c r="E45" s="178"/>
      <c r="F45" s="178"/>
    </row>
    <row r="46" spans="1:15" ht="25.2" customHeight="1">
      <c r="B46" s="176"/>
      <c r="D46" s="177"/>
      <c r="E46" s="178"/>
      <c r="F46" s="178"/>
    </row>
    <row r="47" spans="1:15" ht="25.2" customHeight="1">
      <c r="B47" s="176"/>
      <c r="D47" s="177"/>
      <c r="E47" s="178"/>
      <c r="F47" s="178"/>
    </row>
    <row r="48" spans="1:15" ht="25.2" customHeight="1">
      <c r="B48" s="176"/>
      <c r="D48" s="177"/>
      <c r="E48" s="178"/>
      <c r="F48" s="178"/>
    </row>
    <row r="49" spans="2:6" ht="25.2" customHeight="1">
      <c r="B49" s="176"/>
      <c r="D49" s="177"/>
      <c r="E49" s="178"/>
      <c r="F49" s="178"/>
    </row>
    <row r="50" spans="2:6" ht="25.2" customHeight="1">
      <c r="B50" s="176"/>
      <c r="D50" s="177"/>
      <c r="E50" s="178"/>
      <c r="F50" s="178"/>
    </row>
    <row r="51" spans="2:6" ht="25.2" customHeight="1">
      <c r="B51" s="176"/>
      <c r="D51" s="177"/>
      <c r="E51" s="178"/>
      <c r="F51" s="178"/>
    </row>
    <row r="52" spans="2:6" ht="25.2" customHeight="1">
      <c r="B52" s="176"/>
      <c r="D52" s="177"/>
      <c r="E52" s="178"/>
      <c r="F52" s="178"/>
    </row>
    <row r="53" spans="2:6" ht="25.2" customHeight="1">
      <c r="B53" s="176"/>
      <c r="D53" s="177"/>
      <c r="E53" s="178"/>
      <c r="F53" s="178"/>
    </row>
    <row r="54" spans="2:6" ht="25.2" customHeight="1">
      <c r="B54" s="176"/>
      <c r="D54" s="177"/>
      <c r="E54" s="178"/>
      <c r="F54" s="178"/>
    </row>
    <row r="55" spans="2:6" ht="25.2" customHeight="1">
      <c r="B55" s="176"/>
      <c r="D55" s="177"/>
      <c r="E55" s="178"/>
      <c r="F55" s="178"/>
    </row>
    <row r="56" spans="2:6" ht="25.2" customHeight="1">
      <c r="B56" s="176"/>
      <c r="D56" s="177"/>
      <c r="E56" s="178"/>
      <c r="F56" s="178"/>
    </row>
    <row r="57" spans="2:6" ht="25.2" customHeight="1">
      <c r="B57" s="176"/>
      <c r="D57" s="177"/>
      <c r="E57" s="178"/>
      <c r="F57" s="178"/>
    </row>
    <row r="58" spans="2:6" ht="25.2" customHeight="1">
      <c r="B58" s="176"/>
      <c r="D58" s="177"/>
      <c r="E58" s="178"/>
      <c r="F58" s="178"/>
    </row>
    <row r="59" spans="2:6" ht="25.2" customHeight="1">
      <c r="B59" s="176"/>
      <c r="D59" s="177"/>
      <c r="E59" s="178"/>
      <c r="F59" s="178"/>
    </row>
    <row r="60" spans="2:6" ht="25.2" customHeight="1">
      <c r="B60" s="176"/>
      <c r="D60" s="177"/>
      <c r="E60" s="178"/>
      <c r="F60" s="178"/>
    </row>
    <row r="61" spans="2:6" ht="25.2" customHeight="1">
      <c r="B61" s="176"/>
      <c r="D61" s="177"/>
      <c r="E61" s="178"/>
      <c r="F61" s="178"/>
    </row>
    <row r="62" spans="2:6" ht="25.2" customHeight="1">
      <c r="B62" s="176"/>
      <c r="D62" s="177"/>
      <c r="E62" s="178"/>
      <c r="F62" s="178"/>
    </row>
    <row r="63" spans="2:6" ht="25.2" customHeight="1">
      <c r="B63" s="176"/>
      <c r="D63" s="177"/>
      <c r="E63" s="178"/>
      <c r="F63" s="178"/>
    </row>
    <row r="64" spans="2:6" ht="25.2" customHeight="1">
      <c r="B64" s="176"/>
      <c r="D64" s="177"/>
      <c r="E64" s="178"/>
      <c r="F64" s="178"/>
    </row>
    <row r="65" spans="2:6" ht="25.2" customHeight="1">
      <c r="B65" s="176"/>
      <c r="D65" s="177"/>
      <c r="E65" s="178"/>
      <c r="F65" s="178"/>
    </row>
    <row r="66" spans="2:6" ht="25.2" customHeight="1">
      <c r="B66" s="176"/>
      <c r="D66" s="177"/>
      <c r="E66" s="178"/>
      <c r="F66" s="178"/>
    </row>
    <row r="67" spans="2:6" ht="25.2" customHeight="1">
      <c r="B67" s="176"/>
      <c r="D67" s="177"/>
      <c r="E67" s="178"/>
      <c r="F67" s="178"/>
    </row>
    <row r="68" spans="2:6" ht="25.2" customHeight="1">
      <c r="B68" s="176"/>
      <c r="D68" s="177"/>
      <c r="E68" s="178"/>
      <c r="F68" s="178"/>
    </row>
    <row r="69" spans="2:6" ht="25.2" customHeight="1">
      <c r="B69" s="176"/>
      <c r="D69" s="177"/>
      <c r="E69" s="178"/>
      <c r="F69" s="178"/>
    </row>
    <row r="70" spans="2:6" ht="25.2" customHeight="1">
      <c r="B70" s="176"/>
      <c r="D70" s="177"/>
      <c r="E70" s="178"/>
      <c r="F70" s="178"/>
    </row>
    <row r="71" spans="2:6" ht="25.2" customHeight="1">
      <c r="B71" s="176"/>
      <c r="D71" s="177"/>
      <c r="E71" s="178"/>
      <c r="F71" s="178"/>
    </row>
    <row r="72" spans="2:6" ht="25.2" customHeight="1">
      <c r="B72" s="176"/>
      <c r="D72" s="177"/>
      <c r="E72" s="178"/>
      <c r="F72" s="178"/>
    </row>
    <row r="73" spans="2:6" ht="25.2" customHeight="1">
      <c r="B73" s="176"/>
      <c r="D73" s="177"/>
      <c r="E73" s="178"/>
      <c r="F73" s="178"/>
    </row>
    <row r="74" spans="2:6" ht="25.2" customHeight="1">
      <c r="B74" s="176"/>
      <c r="D74" s="177"/>
      <c r="E74" s="178"/>
      <c r="F74" s="178"/>
    </row>
    <row r="75" spans="2:6" ht="25.2" customHeight="1">
      <c r="B75" s="176"/>
      <c r="D75" s="177"/>
      <c r="E75" s="178"/>
      <c r="F75" s="178"/>
    </row>
    <row r="76" spans="2:6" ht="25.2" customHeight="1">
      <c r="B76" s="176"/>
      <c r="D76" s="177"/>
      <c r="E76" s="178"/>
      <c r="F76" s="178"/>
    </row>
    <row r="77" spans="2:6" ht="25.2" customHeight="1">
      <c r="B77" s="176"/>
      <c r="D77" s="177"/>
      <c r="E77" s="178"/>
      <c r="F77" s="178"/>
    </row>
    <row r="78" spans="2:6" ht="25.2" customHeight="1">
      <c r="B78" s="176"/>
      <c r="D78" s="177"/>
      <c r="E78" s="178"/>
      <c r="F78" s="178"/>
    </row>
    <row r="79" spans="2:6" ht="25.2" customHeight="1">
      <c r="B79" s="176"/>
      <c r="D79" s="177"/>
      <c r="E79" s="178"/>
      <c r="F79" s="178"/>
    </row>
    <row r="80" spans="2:6" ht="25.2" customHeight="1">
      <c r="B80" s="176"/>
      <c r="D80" s="177"/>
      <c r="E80" s="178"/>
      <c r="F80" s="178"/>
    </row>
    <row r="81" spans="2:6" ht="25.2" customHeight="1">
      <c r="B81" s="176"/>
      <c r="D81" s="177"/>
      <c r="E81" s="178"/>
      <c r="F81" s="178"/>
    </row>
    <row r="82" spans="2:6" ht="25.2" customHeight="1">
      <c r="B82" s="176"/>
      <c r="D82" s="177"/>
      <c r="E82" s="178"/>
      <c r="F82" s="178"/>
    </row>
    <row r="83" spans="2:6" ht="25.2" customHeight="1">
      <c r="B83" s="176"/>
      <c r="D83" s="177"/>
      <c r="E83" s="178"/>
      <c r="F83" s="178"/>
    </row>
    <row r="84" spans="2:6" ht="25.2" customHeight="1">
      <c r="B84" s="176"/>
      <c r="D84" s="177"/>
      <c r="E84" s="178"/>
      <c r="F84" s="178"/>
    </row>
    <row r="85" spans="2:6" ht="25.2" customHeight="1">
      <c r="B85" s="176"/>
      <c r="D85" s="177"/>
      <c r="E85" s="178"/>
      <c r="F85" s="178"/>
    </row>
    <row r="86" spans="2:6" ht="25.2" customHeight="1">
      <c r="B86" s="176"/>
      <c r="D86" s="177"/>
      <c r="E86" s="178"/>
      <c r="F86" s="178"/>
    </row>
    <row r="87" spans="2:6" ht="25.2" customHeight="1">
      <c r="B87" s="176"/>
      <c r="D87" s="177"/>
      <c r="E87" s="178"/>
      <c r="F87" s="178"/>
    </row>
    <row r="88" spans="2:6" ht="25.2" customHeight="1">
      <c r="B88" s="176"/>
      <c r="D88" s="177"/>
      <c r="E88" s="178"/>
      <c r="F88" s="178"/>
    </row>
    <row r="89" spans="2:6" ht="25.2" customHeight="1">
      <c r="B89" s="176"/>
      <c r="D89" s="177"/>
      <c r="E89" s="178"/>
      <c r="F89" s="178"/>
    </row>
    <row r="90" spans="2:6" ht="25.2" customHeight="1">
      <c r="B90" s="176"/>
      <c r="D90" s="177"/>
      <c r="E90" s="178"/>
      <c r="F90" s="178"/>
    </row>
    <row r="91" spans="2:6" ht="25.2" customHeight="1">
      <c r="B91" s="176"/>
      <c r="D91" s="177"/>
      <c r="E91" s="178"/>
      <c r="F91" s="178"/>
    </row>
    <row r="92" spans="2:6" ht="25.2" customHeight="1">
      <c r="B92" s="176"/>
      <c r="D92" s="177"/>
      <c r="E92" s="178"/>
      <c r="F92" s="178"/>
    </row>
    <row r="93" spans="2:6" ht="25.2" customHeight="1">
      <c r="B93" s="176"/>
      <c r="D93" s="177"/>
      <c r="E93" s="178"/>
      <c r="F93" s="178"/>
    </row>
    <row r="94" spans="2:6" ht="25.2" customHeight="1">
      <c r="B94" s="176"/>
      <c r="D94" s="177"/>
      <c r="E94" s="178"/>
      <c r="F94" s="178"/>
    </row>
    <row r="95" spans="2:6" ht="25.2" customHeight="1">
      <c r="B95" s="176"/>
      <c r="D95" s="177"/>
      <c r="E95" s="178"/>
      <c r="F95" s="178"/>
    </row>
    <row r="96" spans="2:6" ht="25.2" customHeight="1">
      <c r="B96" s="176"/>
      <c r="D96" s="177"/>
      <c r="E96" s="178"/>
      <c r="F96" s="178"/>
    </row>
    <row r="97" spans="2:6" ht="25.2" customHeight="1">
      <c r="B97" s="176"/>
      <c r="D97" s="177"/>
      <c r="E97" s="178"/>
      <c r="F97" s="178"/>
    </row>
    <row r="98" spans="2:6" ht="25.2" customHeight="1">
      <c r="B98" s="176"/>
      <c r="D98" s="177"/>
      <c r="E98" s="178"/>
      <c r="F98" s="178"/>
    </row>
    <row r="99" spans="2:6" ht="25.2" customHeight="1">
      <c r="B99" s="176"/>
      <c r="D99" s="177"/>
      <c r="E99" s="178"/>
      <c r="F99" s="178"/>
    </row>
    <row r="100" spans="2:6" ht="25.2" customHeight="1">
      <c r="B100" s="176"/>
      <c r="D100" s="177"/>
      <c r="E100" s="178"/>
      <c r="F100" s="178"/>
    </row>
    <row r="101" spans="2:6" ht="25.2" customHeight="1">
      <c r="B101" s="176"/>
      <c r="D101" s="177"/>
      <c r="E101" s="178"/>
      <c r="F101" s="178"/>
    </row>
    <row r="102" spans="2:6" ht="25.2" customHeight="1">
      <c r="B102" s="176"/>
      <c r="D102" s="177"/>
      <c r="E102" s="178"/>
      <c r="F102" s="178"/>
    </row>
    <row r="103" spans="2:6" ht="25.2" customHeight="1">
      <c r="B103" s="176"/>
      <c r="D103" s="177"/>
      <c r="E103" s="178"/>
      <c r="F103" s="178"/>
    </row>
    <row r="104" spans="2:6" ht="25.2" customHeight="1">
      <c r="B104" s="176"/>
      <c r="D104" s="177"/>
      <c r="E104" s="178"/>
      <c r="F104" s="178"/>
    </row>
    <row r="105" spans="2:6" ht="25.2" customHeight="1">
      <c r="B105" s="176"/>
      <c r="D105" s="177"/>
      <c r="E105" s="178"/>
      <c r="F105" s="178"/>
    </row>
    <row r="106" spans="2:6" ht="25.2" customHeight="1">
      <c r="B106" s="176"/>
      <c r="D106" s="177"/>
      <c r="E106" s="178"/>
      <c r="F106" s="178"/>
    </row>
    <row r="107" spans="2:6" ht="25.2" customHeight="1">
      <c r="B107" s="176"/>
      <c r="D107" s="177"/>
      <c r="E107" s="178"/>
      <c r="F107" s="178"/>
    </row>
    <row r="108" spans="2:6" ht="25.2" customHeight="1">
      <c r="B108" s="176"/>
      <c r="D108" s="177"/>
      <c r="E108" s="178"/>
      <c r="F108" s="178"/>
    </row>
    <row r="109" spans="2:6" ht="25.2" customHeight="1">
      <c r="B109" s="176"/>
      <c r="D109" s="177"/>
      <c r="E109" s="178"/>
      <c r="F109" s="178"/>
    </row>
    <row r="110" spans="2:6" ht="25.2" customHeight="1">
      <c r="B110" s="176"/>
      <c r="D110" s="177"/>
      <c r="E110" s="178"/>
      <c r="F110" s="178"/>
    </row>
    <row r="111" spans="2:6" ht="25.2" customHeight="1">
      <c r="B111" s="176"/>
      <c r="D111" s="177"/>
      <c r="E111" s="178"/>
      <c r="F111" s="178"/>
    </row>
    <row r="112" spans="2:6" ht="25.2" customHeight="1">
      <c r="B112" s="176"/>
      <c r="D112" s="177"/>
      <c r="E112" s="178"/>
      <c r="F112" s="178"/>
    </row>
    <row r="113" spans="2:6" ht="25.2" customHeight="1">
      <c r="B113" s="176"/>
      <c r="D113" s="177"/>
      <c r="E113" s="178"/>
      <c r="F113" s="178"/>
    </row>
    <row r="114" spans="2:6" ht="25.2" customHeight="1">
      <c r="B114" s="176"/>
      <c r="D114" s="177"/>
      <c r="E114" s="178"/>
      <c r="F114" s="178"/>
    </row>
    <row r="115" spans="2:6" ht="25.2" customHeight="1">
      <c r="B115" s="176"/>
      <c r="D115" s="177"/>
      <c r="E115" s="178"/>
      <c r="F115" s="178"/>
    </row>
    <row r="116" spans="2:6" ht="25.2" customHeight="1">
      <c r="B116" s="176"/>
      <c r="D116" s="177"/>
      <c r="E116" s="178"/>
      <c r="F116" s="178"/>
    </row>
    <row r="117" spans="2:6" ht="25.2" customHeight="1">
      <c r="B117" s="176"/>
      <c r="D117" s="177"/>
      <c r="E117" s="178"/>
      <c r="F117" s="178"/>
    </row>
    <row r="118" spans="2:6" ht="25.2" customHeight="1">
      <c r="B118" s="176"/>
      <c r="D118" s="177"/>
      <c r="E118" s="178"/>
      <c r="F118" s="178"/>
    </row>
    <row r="119" spans="2:6" ht="25.2" customHeight="1">
      <c r="B119" s="176"/>
      <c r="D119" s="177"/>
      <c r="E119" s="178"/>
      <c r="F119" s="178"/>
    </row>
    <row r="120" spans="2:6" ht="25.2" customHeight="1">
      <c r="B120" s="176"/>
      <c r="D120" s="177"/>
      <c r="E120" s="178"/>
      <c r="F120" s="178"/>
    </row>
    <row r="121" spans="2:6" ht="25.2" customHeight="1">
      <c r="B121" s="176"/>
      <c r="D121" s="177"/>
      <c r="E121" s="178"/>
      <c r="F121" s="178"/>
    </row>
    <row r="122" spans="2:6" ht="25.2" customHeight="1">
      <c r="B122" s="176"/>
      <c r="D122" s="177"/>
      <c r="E122" s="178"/>
      <c r="F122" s="178"/>
    </row>
    <row r="123" spans="2:6" ht="25.2" customHeight="1">
      <c r="B123" s="176"/>
      <c r="D123" s="177"/>
      <c r="E123" s="178"/>
      <c r="F123" s="178"/>
    </row>
    <row r="124" spans="2:6" ht="25.2" customHeight="1">
      <c r="B124" s="176"/>
      <c r="D124" s="177"/>
      <c r="E124" s="178"/>
      <c r="F124" s="178"/>
    </row>
    <row r="125" spans="2:6" ht="25.2" customHeight="1">
      <c r="B125" s="176"/>
      <c r="D125" s="177"/>
      <c r="E125" s="178"/>
      <c r="F125" s="178"/>
    </row>
    <row r="126" spans="2:6" ht="25.2" customHeight="1">
      <c r="B126" s="176"/>
      <c r="D126" s="177"/>
      <c r="E126" s="178"/>
      <c r="F126" s="178"/>
    </row>
    <row r="127" spans="2:6" ht="25.2" customHeight="1">
      <c r="B127" s="176"/>
      <c r="D127" s="177"/>
      <c r="E127" s="178"/>
      <c r="F127" s="178"/>
    </row>
    <row r="128" spans="2:6" ht="25.2" customHeight="1">
      <c r="B128" s="176"/>
      <c r="D128" s="177"/>
      <c r="E128" s="178"/>
      <c r="F128" s="178"/>
    </row>
    <row r="129" spans="2:6" ht="25.2" customHeight="1">
      <c r="B129" s="176"/>
      <c r="D129" s="177"/>
      <c r="E129" s="178"/>
      <c r="F129" s="178"/>
    </row>
    <row r="130" spans="2:6" ht="25.2" customHeight="1">
      <c r="B130" s="176"/>
      <c r="D130" s="177"/>
      <c r="E130" s="178"/>
      <c r="F130" s="178"/>
    </row>
    <row r="131" spans="2:6" ht="25.2" customHeight="1">
      <c r="B131" s="176"/>
      <c r="D131" s="177"/>
      <c r="E131" s="178"/>
      <c r="F131" s="178"/>
    </row>
    <row r="132" spans="2:6" ht="25.2" customHeight="1">
      <c r="B132" s="176"/>
      <c r="D132" s="177"/>
      <c r="E132" s="178"/>
      <c r="F132" s="178"/>
    </row>
    <row r="133" spans="2:6" ht="25.2" customHeight="1">
      <c r="B133" s="176"/>
      <c r="D133" s="177"/>
      <c r="E133" s="178"/>
      <c r="F133" s="178"/>
    </row>
    <row r="134" spans="2:6" ht="25.2" customHeight="1">
      <c r="B134" s="176"/>
      <c r="D134" s="177"/>
      <c r="E134" s="178"/>
      <c r="F134" s="178"/>
    </row>
    <row r="135" spans="2:6" ht="25.2" customHeight="1">
      <c r="B135" s="176"/>
      <c r="D135" s="177"/>
      <c r="E135" s="178"/>
      <c r="F135" s="178"/>
    </row>
    <row r="136" spans="2:6" ht="25.2" customHeight="1">
      <c r="B136" s="176"/>
      <c r="D136" s="177"/>
      <c r="E136" s="178"/>
      <c r="F136" s="178"/>
    </row>
    <row r="137" spans="2:6" ht="25.2" customHeight="1">
      <c r="B137" s="176"/>
      <c r="D137" s="177"/>
      <c r="E137" s="178"/>
      <c r="F137" s="178"/>
    </row>
    <row r="138" spans="2:6" ht="25.2" customHeight="1">
      <c r="B138" s="176"/>
      <c r="D138" s="177"/>
      <c r="E138" s="178"/>
      <c r="F138" s="178"/>
    </row>
    <row r="139" spans="2:6" ht="25.2" customHeight="1">
      <c r="B139" s="176"/>
      <c r="D139" s="177"/>
      <c r="E139" s="178"/>
      <c r="F139" s="178"/>
    </row>
    <row r="140" spans="2:6" ht="25.2" customHeight="1">
      <c r="B140" s="176"/>
      <c r="D140" s="177"/>
      <c r="E140" s="178"/>
      <c r="F140" s="178"/>
    </row>
    <row r="141" spans="2:6" ht="25.2" customHeight="1">
      <c r="B141" s="176"/>
      <c r="D141" s="177"/>
      <c r="E141" s="178"/>
      <c r="F141" s="178"/>
    </row>
    <row r="142" spans="2:6" ht="25.2" customHeight="1">
      <c r="B142" s="176"/>
      <c r="D142" s="177"/>
      <c r="E142" s="178"/>
      <c r="F142" s="178"/>
    </row>
    <row r="143" spans="2:6" ht="25.2" customHeight="1">
      <c r="B143" s="176"/>
      <c r="D143" s="177"/>
      <c r="E143" s="178"/>
      <c r="F143" s="178"/>
    </row>
    <row r="144" spans="2:6" ht="25.2" customHeight="1">
      <c r="B144" s="176"/>
      <c r="D144" s="177"/>
      <c r="E144" s="178"/>
      <c r="F144" s="178"/>
    </row>
    <row r="145" spans="2:6" ht="25.2" customHeight="1">
      <c r="B145" s="176"/>
      <c r="D145" s="177"/>
      <c r="E145" s="178"/>
      <c r="F145" s="178"/>
    </row>
    <row r="146" spans="2:6" ht="25.2" customHeight="1">
      <c r="B146" s="176"/>
      <c r="D146" s="177"/>
      <c r="E146" s="178"/>
      <c r="F146" s="178"/>
    </row>
    <row r="147" spans="2:6" ht="25.2" customHeight="1">
      <c r="B147" s="176"/>
      <c r="D147" s="177"/>
      <c r="E147" s="178"/>
      <c r="F147" s="178"/>
    </row>
    <row r="148" spans="2:6" ht="25.2" customHeight="1">
      <c r="B148" s="176"/>
      <c r="D148" s="177"/>
      <c r="E148" s="178"/>
      <c r="F148" s="178"/>
    </row>
    <row r="149" spans="2:6" ht="25.2" customHeight="1">
      <c r="B149" s="176"/>
      <c r="D149" s="177"/>
      <c r="E149" s="178"/>
      <c r="F149" s="178"/>
    </row>
    <row r="150" spans="2:6" ht="25.2" customHeight="1">
      <c r="B150" s="176"/>
      <c r="D150" s="177"/>
      <c r="E150" s="178"/>
      <c r="F150" s="178"/>
    </row>
    <row r="151" spans="2:6" ht="25.2" customHeight="1">
      <c r="B151" s="176"/>
      <c r="D151" s="177"/>
      <c r="E151" s="178"/>
      <c r="F151" s="178"/>
    </row>
    <row r="152" spans="2:6" ht="25.2" customHeight="1">
      <c r="B152" s="176"/>
      <c r="D152" s="177"/>
      <c r="E152" s="178"/>
      <c r="F152" s="178"/>
    </row>
    <row r="153" spans="2:6" ht="25.2" customHeight="1">
      <c r="B153" s="176"/>
      <c r="D153" s="177"/>
      <c r="E153" s="178"/>
      <c r="F153" s="178"/>
    </row>
    <row r="154" spans="2:6" ht="25.2" customHeight="1">
      <c r="B154" s="176"/>
      <c r="D154" s="177"/>
      <c r="E154" s="178"/>
      <c r="F154" s="178"/>
    </row>
    <row r="155" spans="2:6" ht="25.2" customHeight="1">
      <c r="B155" s="176"/>
      <c r="D155" s="177"/>
      <c r="E155" s="178"/>
      <c r="F155" s="178"/>
    </row>
    <row r="156" spans="2:6" ht="25.2" customHeight="1">
      <c r="B156" s="176"/>
      <c r="D156" s="177"/>
      <c r="E156" s="178"/>
      <c r="F156" s="178"/>
    </row>
    <row r="157" spans="2:6" ht="25.2" customHeight="1">
      <c r="B157" s="176"/>
      <c r="D157" s="177"/>
      <c r="E157" s="178"/>
      <c r="F157" s="178"/>
    </row>
    <row r="158" spans="2:6" ht="25.2" customHeight="1">
      <c r="B158" s="176"/>
      <c r="D158" s="177"/>
      <c r="E158" s="178"/>
      <c r="F158" s="178"/>
    </row>
    <row r="159" spans="2:6" ht="25.2" customHeight="1">
      <c r="B159" s="176"/>
      <c r="D159" s="177"/>
      <c r="E159" s="178"/>
      <c r="F159" s="178"/>
    </row>
    <row r="160" spans="2:6" ht="25.2" customHeight="1">
      <c r="B160" s="176"/>
      <c r="D160" s="177"/>
      <c r="E160" s="178"/>
      <c r="F160" s="178"/>
    </row>
    <row r="161" spans="2:6" ht="25.2" customHeight="1">
      <c r="B161" s="176"/>
      <c r="D161" s="177"/>
      <c r="E161" s="178"/>
      <c r="F161" s="178"/>
    </row>
    <row r="162" spans="2:6" ht="25.2" customHeight="1">
      <c r="B162" s="176"/>
      <c r="D162" s="177"/>
      <c r="E162" s="178"/>
      <c r="F162" s="178"/>
    </row>
    <row r="163" spans="2:6" ht="25.2" customHeight="1">
      <c r="B163" s="176"/>
      <c r="D163" s="177"/>
      <c r="E163" s="178"/>
      <c r="F163" s="178"/>
    </row>
    <row r="164" spans="2:6" ht="25.2" customHeight="1">
      <c r="B164" s="176"/>
      <c r="D164" s="177"/>
      <c r="E164" s="178"/>
      <c r="F164" s="178"/>
    </row>
    <row r="165" spans="2:6" ht="25.2" customHeight="1">
      <c r="B165" s="176"/>
      <c r="D165" s="177"/>
      <c r="E165" s="178"/>
      <c r="F165" s="178"/>
    </row>
    <row r="166" spans="2:6" ht="25.2" customHeight="1">
      <c r="B166" s="176"/>
      <c r="D166" s="177"/>
      <c r="E166" s="178"/>
      <c r="F166" s="178"/>
    </row>
    <row r="167" spans="2:6" ht="25.2" customHeight="1">
      <c r="B167" s="176"/>
      <c r="D167" s="177"/>
      <c r="E167" s="178"/>
      <c r="F167" s="178"/>
    </row>
    <row r="168" spans="2:6" ht="25.2" customHeight="1">
      <c r="B168" s="176"/>
      <c r="D168" s="177"/>
      <c r="E168" s="178"/>
      <c r="F168" s="178"/>
    </row>
    <row r="169" spans="2:6" ht="25.2" customHeight="1">
      <c r="B169" s="176"/>
      <c r="D169" s="177"/>
      <c r="E169" s="178"/>
      <c r="F169" s="178"/>
    </row>
    <row r="170" spans="2:6" ht="25.2" customHeight="1">
      <c r="B170" s="176"/>
      <c r="D170" s="177"/>
      <c r="E170" s="178"/>
      <c r="F170" s="178"/>
    </row>
    <row r="171" spans="2:6" ht="25.2" customHeight="1">
      <c r="B171" s="176"/>
      <c r="D171" s="177"/>
      <c r="E171" s="178"/>
      <c r="F171" s="178"/>
    </row>
    <row r="172" spans="2:6" ht="25.2" customHeight="1">
      <c r="B172" s="176"/>
      <c r="D172" s="177"/>
      <c r="E172" s="178"/>
      <c r="F172" s="178"/>
    </row>
    <row r="173" spans="2:6" ht="25.2" customHeight="1">
      <c r="B173" s="176"/>
      <c r="D173" s="177"/>
      <c r="E173" s="178"/>
      <c r="F173" s="178"/>
    </row>
    <row r="174" spans="2:6" ht="25.2" customHeight="1">
      <c r="B174" s="176"/>
      <c r="D174" s="177"/>
      <c r="E174" s="178"/>
      <c r="F174" s="178"/>
    </row>
    <row r="175" spans="2:6" ht="25.2" customHeight="1">
      <c r="B175" s="176"/>
      <c r="D175" s="177"/>
      <c r="E175" s="178"/>
      <c r="F175" s="178"/>
    </row>
    <row r="176" spans="2:6" ht="25.2" customHeight="1">
      <c r="B176" s="176"/>
      <c r="D176" s="177"/>
      <c r="E176" s="178"/>
      <c r="F176" s="178"/>
    </row>
    <row r="177" spans="2:6" ht="25.2" customHeight="1">
      <c r="B177" s="176"/>
      <c r="D177" s="177"/>
      <c r="E177" s="178"/>
      <c r="F177" s="178"/>
    </row>
    <row r="178" spans="2:6" ht="25.2" customHeight="1">
      <c r="B178" s="176"/>
      <c r="D178" s="177"/>
      <c r="E178" s="178"/>
      <c r="F178" s="178"/>
    </row>
    <row r="179" spans="2:6" ht="25.2" customHeight="1">
      <c r="B179" s="176"/>
      <c r="D179" s="177"/>
      <c r="E179" s="178"/>
      <c r="F179" s="178"/>
    </row>
    <row r="180" spans="2:6" ht="25.2" customHeight="1">
      <c r="B180" s="176"/>
      <c r="D180" s="177"/>
      <c r="E180" s="178"/>
      <c r="F180" s="178"/>
    </row>
    <row r="181" spans="2:6" ht="25.2" customHeight="1">
      <c r="B181" s="176"/>
      <c r="D181" s="177"/>
      <c r="E181" s="178"/>
      <c r="F181" s="178"/>
    </row>
    <row r="182" spans="2:6" ht="25.2" customHeight="1">
      <c r="B182" s="176"/>
      <c r="D182" s="177"/>
      <c r="E182" s="178"/>
      <c r="F182" s="178"/>
    </row>
    <row r="183" spans="2:6" ht="25.2" customHeight="1">
      <c r="B183" s="176"/>
      <c r="D183" s="177"/>
      <c r="E183" s="178"/>
      <c r="F183" s="178"/>
    </row>
    <row r="184" spans="2:6" ht="25.2" customHeight="1">
      <c r="B184" s="176"/>
      <c r="D184" s="177"/>
      <c r="E184" s="178"/>
      <c r="F184" s="178"/>
    </row>
    <row r="185" spans="2:6" ht="25.2" customHeight="1">
      <c r="B185" s="176"/>
      <c r="D185" s="177"/>
      <c r="E185" s="178"/>
      <c r="F185" s="178"/>
    </row>
    <row r="186" spans="2:6" ht="25.2" customHeight="1">
      <c r="B186" s="176"/>
      <c r="D186" s="177"/>
      <c r="E186" s="178"/>
      <c r="F186" s="178"/>
    </row>
    <row r="187" spans="2:6" ht="25.2" customHeight="1">
      <c r="B187" s="176"/>
      <c r="D187" s="177"/>
      <c r="E187" s="178"/>
      <c r="F187" s="178"/>
    </row>
    <row r="188" spans="2:6" ht="25.2" customHeight="1">
      <c r="B188" s="176"/>
      <c r="D188" s="177"/>
      <c r="E188" s="178"/>
      <c r="F188" s="178"/>
    </row>
    <row r="189" spans="2:6" ht="25.2" customHeight="1">
      <c r="B189" s="176"/>
      <c r="D189" s="177"/>
      <c r="E189" s="178"/>
      <c r="F189" s="178"/>
    </row>
    <row r="190" spans="2:6" ht="25.2" customHeight="1">
      <c r="B190" s="176"/>
      <c r="D190" s="177"/>
      <c r="E190" s="178"/>
      <c r="F190" s="178"/>
    </row>
    <row r="191" spans="2:6" ht="25.2" customHeight="1">
      <c r="B191" s="176"/>
      <c r="D191" s="177"/>
      <c r="E191" s="178"/>
      <c r="F191" s="178"/>
    </row>
    <row r="192" spans="2:6" ht="25.2" customHeight="1">
      <c r="B192" s="176"/>
      <c r="D192" s="177"/>
      <c r="E192" s="178"/>
      <c r="F192" s="178"/>
    </row>
    <row r="193" spans="2:6" ht="25.2" customHeight="1">
      <c r="B193" s="176"/>
      <c r="D193" s="177"/>
      <c r="E193" s="178"/>
      <c r="F193" s="178"/>
    </row>
    <row r="194" spans="2:6" ht="25.2" customHeight="1">
      <c r="B194" s="176"/>
      <c r="D194" s="177"/>
      <c r="E194" s="178"/>
      <c r="F194" s="178"/>
    </row>
    <row r="195" spans="2:6" ht="25.2" customHeight="1">
      <c r="B195" s="176"/>
      <c r="D195" s="177"/>
      <c r="E195" s="178"/>
      <c r="F195" s="178"/>
    </row>
    <row r="196" spans="2:6" ht="25.2" customHeight="1">
      <c r="B196" s="176"/>
      <c r="D196" s="177"/>
      <c r="E196" s="178"/>
      <c r="F196" s="178"/>
    </row>
    <row r="197" spans="2:6" ht="25.2" customHeight="1">
      <c r="B197" s="176"/>
      <c r="D197" s="177"/>
      <c r="E197" s="178"/>
      <c r="F197" s="178"/>
    </row>
    <row r="198" spans="2:6" ht="25.2" customHeight="1">
      <c r="B198" s="176"/>
      <c r="D198" s="177"/>
      <c r="E198" s="178"/>
      <c r="F198" s="178"/>
    </row>
    <row r="199" spans="2:6" ht="25.2" customHeight="1">
      <c r="B199" s="176"/>
      <c r="D199" s="177"/>
      <c r="E199" s="178"/>
      <c r="F199" s="178"/>
    </row>
    <row r="200" spans="2:6" ht="25.2" customHeight="1">
      <c r="B200" s="176"/>
      <c r="D200" s="177"/>
      <c r="E200" s="178"/>
      <c r="F200" s="178"/>
    </row>
    <row r="201" spans="2:6" ht="25.2" customHeight="1">
      <c r="B201" s="176"/>
      <c r="D201" s="177"/>
      <c r="E201" s="178"/>
      <c r="F201" s="178"/>
    </row>
    <row r="202" spans="2:6" ht="25.2" customHeight="1">
      <c r="B202" s="176"/>
      <c r="D202" s="177"/>
      <c r="E202" s="178"/>
      <c r="F202" s="178"/>
    </row>
    <row r="203" spans="2:6" ht="25.2" customHeight="1">
      <c r="B203" s="176"/>
      <c r="D203" s="177"/>
      <c r="E203" s="178"/>
      <c r="F203" s="178"/>
    </row>
    <row r="204" spans="2:6" ht="25.2" customHeight="1">
      <c r="B204" s="176"/>
      <c r="D204" s="177"/>
      <c r="E204" s="178"/>
      <c r="F204" s="178"/>
    </row>
    <row r="205" spans="2:6" ht="25.2" customHeight="1">
      <c r="B205" s="176"/>
      <c r="D205" s="177"/>
      <c r="E205" s="178"/>
      <c r="F205" s="178"/>
    </row>
    <row r="206" spans="2:6" ht="25.2" customHeight="1">
      <c r="B206" s="176"/>
      <c r="D206" s="177"/>
      <c r="E206" s="178"/>
      <c r="F206" s="178"/>
    </row>
    <row r="207" spans="2:6" ht="25.2" customHeight="1">
      <c r="B207" s="176"/>
      <c r="D207" s="177"/>
      <c r="E207" s="178"/>
      <c r="F207" s="178"/>
    </row>
    <row r="208" spans="2:6" ht="25.2" customHeight="1">
      <c r="B208" s="176"/>
      <c r="D208" s="177"/>
      <c r="E208" s="178"/>
      <c r="F208" s="178"/>
    </row>
    <row r="209" spans="2:6" ht="25.2" customHeight="1">
      <c r="B209" s="176"/>
      <c r="D209" s="177"/>
      <c r="E209" s="178"/>
      <c r="F209" s="178"/>
    </row>
    <row r="210" spans="2:6" ht="25.2" customHeight="1">
      <c r="B210" s="176"/>
      <c r="D210" s="177"/>
      <c r="E210" s="178"/>
      <c r="F210" s="178"/>
    </row>
    <row r="211" spans="2:6" ht="25.2" customHeight="1">
      <c r="B211" s="176"/>
      <c r="D211" s="177"/>
      <c r="E211" s="178"/>
      <c r="F211" s="178"/>
    </row>
    <row r="212" spans="2:6" ht="25.2" customHeight="1">
      <c r="B212" s="176"/>
      <c r="D212" s="177"/>
      <c r="E212" s="178"/>
      <c r="F212" s="178"/>
    </row>
    <row r="213" spans="2:6" ht="25.2" customHeight="1">
      <c r="B213" s="176"/>
      <c r="D213" s="177"/>
      <c r="E213" s="178"/>
      <c r="F213" s="178"/>
    </row>
    <row r="214" spans="2:6" ht="25.2" customHeight="1">
      <c r="B214" s="176"/>
      <c r="D214" s="177"/>
      <c r="E214" s="178"/>
      <c r="F214" s="178"/>
    </row>
    <row r="215" spans="2:6" ht="25.2" customHeight="1">
      <c r="B215" s="176"/>
      <c r="D215" s="177"/>
      <c r="E215" s="178"/>
      <c r="F215" s="178"/>
    </row>
    <row r="216" spans="2:6" ht="25.2" customHeight="1">
      <c r="B216" s="176"/>
      <c r="D216" s="177"/>
      <c r="E216" s="178"/>
      <c r="F216" s="178"/>
    </row>
    <row r="217" spans="2:6" ht="25.2" customHeight="1">
      <c r="B217" s="176"/>
      <c r="D217" s="177"/>
      <c r="E217" s="178"/>
      <c r="F217" s="178"/>
    </row>
    <row r="218" spans="2:6" ht="25.2" customHeight="1">
      <c r="B218" s="176"/>
      <c r="D218" s="177"/>
      <c r="E218" s="178"/>
      <c r="F218" s="178"/>
    </row>
    <row r="219" spans="2:6" ht="25.2" customHeight="1">
      <c r="B219" s="176"/>
      <c r="D219" s="177"/>
      <c r="E219" s="178"/>
      <c r="F219" s="178"/>
    </row>
    <row r="220" spans="2:6" ht="25.2" customHeight="1">
      <c r="B220" s="176"/>
      <c r="D220" s="177"/>
      <c r="E220" s="178"/>
      <c r="F220" s="178"/>
    </row>
    <row r="221" spans="2:6" ht="25.2" customHeight="1">
      <c r="B221" s="176"/>
      <c r="D221" s="177"/>
      <c r="E221" s="178"/>
      <c r="F221" s="178"/>
    </row>
    <row r="222" spans="2:6" ht="25.2" customHeight="1">
      <c r="B222" s="176"/>
      <c r="D222" s="177"/>
      <c r="E222" s="178"/>
      <c r="F222" s="178"/>
    </row>
    <row r="223" spans="2:6" ht="25.2" customHeight="1">
      <c r="B223" s="176"/>
      <c r="D223" s="177"/>
      <c r="E223" s="178"/>
      <c r="F223" s="178"/>
    </row>
    <row r="224" spans="2:6" ht="25.2" customHeight="1">
      <c r="B224" s="176"/>
      <c r="D224" s="177"/>
      <c r="E224" s="178"/>
      <c r="F224" s="178"/>
    </row>
    <row r="225" spans="2:6" ht="25.2" customHeight="1">
      <c r="B225" s="176"/>
      <c r="D225" s="177"/>
      <c r="E225" s="178"/>
      <c r="F225" s="178"/>
    </row>
    <row r="226" spans="2:6" ht="25.2" customHeight="1">
      <c r="B226" s="176"/>
      <c r="D226" s="177"/>
      <c r="E226" s="178"/>
      <c r="F226" s="178"/>
    </row>
    <row r="227" spans="2:6" ht="25.2" customHeight="1">
      <c r="B227" s="176"/>
      <c r="D227" s="177"/>
      <c r="E227" s="178"/>
      <c r="F227" s="178"/>
    </row>
    <row r="228" spans="2:6" ht="25.2" customHeight="1">
      <c r="B228" s="176"/>
      <c r="D228" s="177"/>
      <c r="E228" s="178"/>
      <c r="F228" s="178"/>
    </row>
    <row r="229" spans="2:6" ht="25.2" customHeight="1">
      <c r="B229" s="176"/>
      <c r="D229" s="177"/>
      <c r="E229" s="178"/>
      <c r="F229" s="178"/>
    </row>
    <row r="230" spans="2:6" ht="25.2" customHeight="1">
      <c r="B230" s="176"/>
      <c r="D230" s="177"/>
      <c r="E230" s="178"/>
      <c r="F230" s="178"/>
    </row>
    <row r="231" spans="2:6" ht="25.2" customHeight="1">
      <c r="B231" s="176"/>
      <c r="D231" s="177"/>
      <c r="E231" s="178"/>
      <c r="F231" s="178"/>
    </row>
    <row r="232" spans="2:6" ht="25.2" customHeight="1">
      <c r="B232" s="176"/>
      <c r="D232" s="177"/>
      <c r="E232" s="178"/>
      <c r="F232" s="178"/>
    </row>
    <row r="233" spans="2:6" ht="25.2" customHeight="1">
      <c r="B233" s="176"/>
      <c r="D233" s="177"/>
      <c r="E233" s="178"/>
      <c r="F233" s="178"/>
    </row>
    <row r="234" spans="2:6" ht="25.2" customHeight="1">
      <c r="B234" s="176"/>
      <c r="D234" s="177"/>
      <c r="E234" s="178"/>
      <c r="F234" s="178"/>
    </row>
    <row r="235" spans="2:6" ht="25.2" customHeight="1">
      <c r="B235" s="176"/>
      <c r="D235" s="177"/>
      <c r="E235" s="178"/>
      <c r="F235" s="178"/>
    </row>
    <row r="236" spans="2:6" ht="25.2" customHeight="1">
      <c r="B236" s="176"/>
      <c r="D236" s="177"/>
      <c r="E236" s="178"/>
      <c r="F236" s="178"/>
    </row>
    <row r="237" spans="2:6" ht="25.2" customHeight="1">
      <c r="B237" s="176"/>
      <c r="D237" s="177"/>
      <c r="E237" s="178"/>
      <c r="F237" s="178"/>
    </row>
    <row r="238" spans="2:6" ht="25.2" customHeight="1">
      <c r="B238" s="176"/>
      <c r="D238" s="177"/>
      <c r="E238" s="178"/>
      <c r="F238" s="178"/>
    </row>
    <row r="239" spans="2:6" ht="25.2" customHeight="1">
      <c r="B239" s="176"/>
      <c r="D239" s="177"/>
      <c r="E239" s="178"/>
      <c r="F239" s="178"/>
    </row>
    <row r="240" spans="2:6" ht="25.2" customHeight="1">
      <c r="B240" s="176"/>
      <c r="D240" s="177"/>
      <c r="E240" s="178"/>
      <c r="F240" s="178"/>
    </row>
    <row r="241" spans="2:6" ht="25.2" customHeight="1">
      <c r="B241" s="176"/>
      <c r="D241" s="177"/>
      <c r="E241" s="178"/>
      <c r="F241" s="178"/>
    </row>
    <row r="242" spans="2:6" ht="25.2" customHeight="1">
      <c r="B242" s="176"/>
      <c r="D242" s="177"/>
      <c r="E242" s="178"/>
      <c r="F242" s="178"/>
    </row>
    <row r="243" spans="2:6" ht="25.2" customHeight="1">
      <c r="B243" s="176"/>
      <c r="D243" s="177"/>
      <c r="E243" s="178"/>
      <c r="F243" s="178"/>
    </row>
    <row r="244" spans="2:6" ht="25.2" customHeight="1">
      <c r="B244" s="176"/>
      <c r="D244" s="177"/>
      <c r="E244" s="178"/>
      <c r="F244" s="178"/>
    </row>
    <row r="245" spans="2:6" ht="25.2" customHeight="1">
      <c r="B245" s="176"/>
      <c r="D245" s="177"/>
      <c r="E245" s="178"/>
      <c r="F245" s="178"/>
    </row>
    <row r="246" spans="2:6" ht="25.2" customHeight="1">
      <c r="B246" s="176"/>
      <c r="D246" s="177"/>
      <c r="E246" s="178"/>
      <c r="F246" s="178"/>
    </row>
    <row r="247" spans="2:6" ht="25.2" customHeight="1">
      <c r="B247" s="176"/>
      <c r="D247" s="177"/>
      <c r="E247" s="178"/>
      <c r="F247" s="178"/>
    </row>
  </sheetData>
  <mergeCells count="158">
    <mergeCell ref="K31:K32"/>
    <mergeCell ref="L31:L32"/>
    <mergeCell ref="M31:M32"/>
    <mergeCell ref="N31:N32"/>
    <mergeCell ref="O31:O32"/>
    <mergeCell ref="B33:E33"/>
    <mergeCell ref="N29:N30"/>
    <mergeCell ref="O29:O30"/>
    <mergeCell ref="A31:A32"/>
    <mergeCell ref="D31:D32"/>
    <mergeCell ref="E31:E32"/>
    <mergeCell ref="F31:F32"/>
    <mergeCell ref="G31:G32"/>
    <mergeCell ref="H31:H32"/>
    <mergeCell ref="I31:I32"/>
    <mergeCell ref="J31:J32"/>
    <mergeCell ref="H29:H30"/>
    <mergeCell ref="I29:I30"/>
    <mergeCell ref="J29:J30"/>
    <mergeCell ref="K29:K30"/>
    <mergeCell ref="L29:L30"/>
    <mergeCell ref="M29:M30"/>
    <mergeCell ref="K27:K28"/>
    <mergeCell ref="L27:L28"/>
    <mergeCell ref="M27:M28"/>
    <mergeCell ref="N27:N28"/>
    <mergeCell ref="O27:O28"/>
    <mergeCell ref="A29:A30"/>
    <mergeCell ref="D29:D30"/>
    <mergeCell ref="E29:E30"/>
    <mergeCell ref="F29:F30"/>
    <mergeCell ref="G29:G30"/>
    <mergeCell ref="A27:A28"/>
    <mergeCell ref="D27:D28"/>
    <mergeCell ref="E27:E28"/>
    <mergeCell ref="F27:F28"/>
    <mergeCell ref="G27:G28"/>
    <mergeCell ref="H27:H28"/>
    <mergeCell ref="I27:I28"/>
    <mergeCell ref="J27:J28"/>
    <mergeCell ref="H25:H26"/>
    <mergeCell ref="I25:I26"/>
    <mergeCell ref="J25:J26"/>
    <mergeCell ref="K23:K24"/>
    <mergeCell ref="L23:L24"/>
    <mergeCell ref="M23:M24"/>
    <mergeCell ref="N23:N24"/>
    <mergeCell ref="O23:O24"/>
    <mergeCell ref="A25:A26"/>
    <mergeCell ref="D25:D26"/>
    <mergeCell ref="E25:E26"/>
    <mergeCell ref="F25:F26"/>
    <mergeCell ref="G25:G26"/>
    <mergeCell ref="N25:N26"/>
    <mergeCell ref="O25:O26"/>
    <mergeCell ref="K25:K26"/>
    <mergeCell ref="L25:L26"/>
    <mergeCell ref="M25:M26"/>
    <mergeCell ref="A23:A24"/>
    <mergeCell ref="D23:D24"/>
    <mergeCell ref="E23:E24"/>
    <mergeCell ref="F23:F24"/>
    <mergeCell ref="G23:G24"/>
    <mergeCell ref="H23:H24"/>
    <mergeCell ref="I23:I24"/>
    <mergeCell ref="J23:J24"/>
    <mergeCell ref="H21:H22"/>
    <mergeCell ref="I21:I22"/>
    <mergeCell ref="J21:J22"/>
    <mergeCell ref="K19:K20"/>
    <mergeCell ref="L19:L20"/>
    <mergeCell ref="M19:M20"/>
    <mergeCell ref="N19:N20"/>
    <mergeCell ref="O19:O20"/>
    <mergeCell ref="A21:A22"/>
    <mergeCell ref="D21:D22"/>
    <mergeCell ref="E21:E22"/>
    <mergeCell ref="F21:F22"/>
    <mergeCell ref="G21:G22"/>
    <mergeCell ref="N21:N22"/>
    <mergeCell ref="O21:O22"/>
    <mergeCell ref="K21:K22"/>
    <mergeCell ref="L21:L22"/>
    <mergeCell ref="M21:M22"/>
    <mergeCell ref="A19:A20"/>
    <mergeCell ref="D19:D20"/>
    <mergeCell ref="E19:E20"/>
    <mergeCell ref="F19:F20"/>
    <mergeCell ref="G19:G20"/>
    <mergeCell ref="H19:H20"/>
    <mergeCell ref="I19:I20"/>
    <mergeCell ref="J19:J20"/>
    <mergeCell ref="H17:H18"/>
    <mergeCell ref="I17:I18"/>
    <mergeCell ref="J17:J18"/>
    <mergeCell ref="M15:M16"/>
    <mergeCell ref="N15:N16"/>
    <mergeCell ref="O15:O16"/>
    <mergeCell ref="A17:A18"/>
    <mergeCell ref="D17:D18"/>
    <mergeCell ref="E17:E18"/>
    <mergeCell ref="F17:F18"/>
    <mergeCell ref="G17:G18"/>
    <mergeCell ref="N17:N18"/>
    <mergeCell ref="O17:O18"/>
    <mergeCell ref="K17:K18"/>
    <mergeCell ref="L17:L18"/>
    <mergeCell ref="M17:M18"/>
    <mergeCell ref="A12:A13"/>
    <mergeCell ref="D12:D13"/>
    <mergeCell ref="E12:E13"/>
    <mergeCell ref="F12:F13"/>
    <mergeCell ref="G12:G13"/>
    <mergeCell ref="H12:H13"/>
    <mergeCell ref="O12:O13"/>
    <mergeCell ref="B14:F14"/>
    <mergeCell ref="A15:A16"/>
    <mergeCell ref="D15:D16"/>
    <mergeCell ref="E15:E16"/>
    <mergeCell ref="F15:F16"/>
    <mergeCell ref="G15:G16"/>
    <mergeCell ref="H15:H16"/>
    <mergeCell ref="I15:I16"/>
    <mergeCell ref="J15:J16"/>
    <mergeCell ref="I12:I13"/>
    <mergeCell ref="J12:J13"/>
    <mergeCell ref="K12:K13"/>
    <mergeCell ref="L12:L13"/>
    <mergeCell ref="M12:M13"/>
    <mergeCell ref="N12:N13"/>
    <mergeCell ref="K15:K16"/>
    <mergeCell ref="L15:L16"/>
    <mergeCell ref="B8:O8"/>
    <mergeCell ref="A10:A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A5:O5"/>
    <mergeCell ref="A6:A7"/>
    <mergeCell ref="G6:H6"/>
    <mergeCell ref="I6:J6"/>
    <mergeCell ref="K6:L6"/>
    <mergeCell ref="M6:N6"/>
    <mergeCell ref="B1:O1"/>
    <mergeCell ref="B2:O2"/>
    <mergeCell ref="B3:O3"/>
    <mergeCell ref="B4:C4"/>
    <mergeCell ref="I4:L4"/>
    <mergeCell ref="M4:O4"/>
  </mergeCells>
  <printOptions horizontalCentered="1"/>
  <pageMargins left="0.2" right="0.2" top="1.1013888888888901" bottom="0.25138888888888899" header="0.297916666666667" footer="0.297916666666667"/>
  <pageSetup paperSize="9" scale="43" fitToHeight="0" orientation="landscape" r:id="rId1"/>
  <headerFooter scaleWithDoc="0" alignWithMargins="0">
    <oddHeader>&amp;C&amp;G</oddHeader>
  </headerFooter>
  <rowBreaks count="5" manualBreakCount="5">
    <brk id="33" max="16383" man="1"/>
    <brk id="33" max="16383" man="1"/>
    <brk id="33" max="16383" man="1"/>
    <brk id="33" max="16383" man="1"/>
    <brk id="33" max="16383" man="1"/>
  </rowBreaks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Cover of IPC </vt:lpstr>
      <vt:lpstr>Bill Summary</vt:lpstr>
      <vt:lpstr>Sch1. (A)</vt:lpstr>
      <vt:lpstr>Sch3. (A)</vt:lpstr>
      <vt:lpstr>Sch4. (A)</vt:lpstr>
      <vt:lpstr>Dayworks</vt:lpstr>
      <vt:lpstr>Schedule S1</vt:lpstr>
      <vt:lpstr>Schedule S2</vt:lpstr>
      <vt:lpstr>Sch1.  (B)</vt:lpstr>
      <vt:lpstr>Sch3. (B)</vt:lpstr>
      <vt:lpstr>Sch4. (B)</vt:lpstr>
      <vt:lpstr>Sheet1</vt:lpstr>
      <vt:lpstr>'Bill Summary'!Print_Area</vt:lpstr>
      <vt:lpstr>'Cover of IPC '!Print_Area</vt:lpstr>
      <vt:lpstr>Dayworks!Print_Area</vt:lpstr>
      <vt:lpstr>'Sch1.  (B)'!Print_Area</vt:lpstr>
      <vt:lpstr>'Sch1. (A)'!Print_Area</vt:lpstr>
      <vt:lpstr>'Sch3. (A)'!Print_Area</vt:lpstr>
      <vt:lpstr>'Sch3. (B)'!Print_Area</vt:lpstr>
      <vt:lpstr>'Sch4. (A)'!Print_Area</vt:lpstr>
      <vt:lpstr>'Sch4. (B)'!Print_Area</vt:lpstr>
      <vt:lpstr>'Schedule S1'!Print_Area</vt:lpstr>
      <vt:lpstr>'Schedule S2'!Print_Area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2026-05-18T13:20:16Z</dcterms:created>
  <dcterms:modified xsi:type="dcterms:W3CDTF">2026-05-31T23:58:16Z</dcterms:modified>
</cp:coreProperties>
</file>